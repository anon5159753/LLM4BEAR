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deets" sheetId="1" state="visible" r:id="rId3"/>
    <sheet name="Initial Top 10" sheetId="2" state="visible" r:id="rId4"/>
    <sheet name="Session Expanded 10" sheetId="3" state="visible" r:id="rId5"/>
    <sheet name="Session Only 10" sheetId="4" state="visible" r:id="rId6"/>
    <sheet name="Expanded Only 10" sheetId="5" state="visible" r:id="rId7"/>
    <sheet name="No Enrichment 10" sheetId="6" state="visible" r:id="rId8"/>
    <sheet name="No Evaluators 10" sheetId="7" state="visible" r:id="rId9"/>
    <sheet name="No Graphs 10" sheetId="8" state="visible" r:id="rId10"/>
  </sheets>
  <calcPr iterateCount="100" refMode="A1" iterate="false" iterateDelta="0.001"/>
  <extLst>
    <ext xmlns:loext="http://schemas.libreoffice.org/" uri="{7626C862-2A13-11E5-B345-FEFF819CDC9F}">
      <loext:extCalcPr stringRefSyntax="CalcA1ExcelA1"/>
    </ext>
  </extLst>
</workbook>
</file>

<file path=xl/sharedStrings.xml><?xml version="1.0" encoding="utf-8"?>
<sst xmlns="http://schemas.openxmlformats.org/spreadsheetml/2006/main" count="415" uniqueCount="167">
  <si>
    <t xml:space="preserve">Name</t>
  </si>
  <si>
    <t xml:space="preserve">Domain</t>
  </si>
  <si>
    <t xml:space="preserve">Number Bundles</t>
  </si>
  <si>
    <t xml:space="preserve">Initial High Quality</t>
  </si>
  <si>
    <t xml:space="preserve">Bundle Size Avg</t>
  </si>
  <si>
    <t xml:space="preserve">Initial Avg</t>
  </si>
  <si>
    <t xml:space="preserve">Initial Lowest</t>
  </si>
  <si>
    <t xml:space="preserve">Initial High %</t>
  </si>
  <si>
    <t xml:space="preserve">End High Quality</t>
  </si>
  <si>
    <t xml:space="preserve">End High %</t>
  </si>
  <si>
    <t xml:space="preserve">End Avg</t>
  </si>
  <si>
    <t xml:space="preserve">End High</t>
  </si>
  <si>
    <t xml:space="preserve">End Bundle Size Avg</t>
  </si>
  <si>
    <t xml:space="preserve">Successful Modifications</t>
  </si>
  <si>
    <t xml:space="preserve">Avg Number Modifications</t>
  </si>
  <si>
    <t xml:space="preserve">Entropy</t>
  </si>
  <si>
    <t xml:space="preserve">Gini</t>
  </si>
  <si>
    <t xml:space="preserve">CV</t>
  </si>
  <si>
    <t xml:space="preserve">Session Expanded</t>
  </si>
  <si>
    <t xml:space="preserve">Electronic</t>
  </si>
  <si>
    <t xml:space="preserve">Clothing</t>
  </si>
  <si>
    <t xml:space="preserve">Food</t>
  </si>
  <si>
    <t xml:space="preserve">Session Only</t>
  </si>
  <si>
    <t xml:space="preserve">Expanded Only</t>
  </si>
  <si>
    <t xml:space="preserve">No Enrichment</t>
  </si>
  <si>
    <t xml:space="preserve">No Evaluator Help</t>
  </si>
  <si>
    <t xml:space="preserve">10 iterations</t>
  </si>
  <si>
    <t xml:space="preserve">No Importance Graph</t>
  </si>
  <si>
    <t xml:space="preserve">Initial</t>
  </si>
  <si>
    <t xml:space="preserve">Condition</t>
  </si>
  <si>
    <t xml:space="preserve">% High-Quality Bundles</t>
  </si>
  <si>
    <t xml:space="preserve">Eff Representation</t>
  </si>
  <si>
    <t xml:space="preserve">% Eff Representation</t>
  </si>
  <si>
    <t xml:space="preserve">Norm Entropy % of maximum entropy</t>
  </si>
  <si>
    <t xml:space="preserve">Coverage</t>
  </si>
  <si>
    <t xml:space="preserve">% Coverage</t>
  </si>
  <si>
    <t xml:space="preserve">Session Only Coverage</t>
  </si>
  <si>
    <t xml:space="preserve">Session Expanded Coverage</t>
  </si>
  <si>
    <t xml:space="preserve">No Enrichment Coverage</t>
  </si>
  <si>
    <t xml:space="preserve">Expanded Only Coverage</t>
  </si>
  <si>
    <t xml:space="preserve">Initial Electronic</t>
  </si>
  <si>
    <t xml:space="preserve">Count</t>
  </si>
  <si>
    <t xml:space="preserve">AmazonBasics High-Speed HDMI Cable - 15 Feet ( 4.6 Meters) Supports Ethernet</t>
  </si>
  <si>
    <t xml:space="preserve">SanDisk Ultra 64GB MicroSDXC Class 10 UHS Memory Card Speed Up To 30MB/s With Adapter, Frustration-Free Packaging - SDSDQU-064G-AFFP-A</t>
  </si>
  <si>
    <t xml:space="preserve">Google Chromecast HDMI Streaming Media Player</t>
  </si>
  <si>
    <t xml:space="preserve">Transcend 8 GB Class 10 SDHC Flash Memory Card (TS8GSDHC10E)</t>
  </si>
  <si>
    <t xml:space="preserve">Wasabi Power Battery (2-Pack) and New Charger for GoPro HD HERO3+, HERO3 and GoPro AHDBT-201, AHDBT-301, AHDBT-302</t>
  </si>
  <si>
    <t xml:space="preserve">Sony 8GB SDHC/SDXC Class 10 UHS-1 R40 Memory Card (SF8UY/TQMN)</t>
  </si>
  <si>
    <t xml:space="preserve">Mediabridge ULTRA Series HDMI Cable (6 Feet) - High-Speed Supports Ethernet, 3D and Audio Return [Newest Standard]</t>
  </si>
  <si>
    <t xml:space="preserve">AmazonBasics High-Speed HDMI Cable 2-Pack - 6.5 Feet (2 Meters)</t>
  </si>
  <si>
    <t xml:space="preserve">Samsung Electronics 840 EVO-Series 120GB 2.5-Inch SATA III Single Unit Version Internal Solid State Drive MZ-7TE120BW</t>
  </si>
  <si>
    <t xml:space="preserve">Seagate Barracuda 320 GB HDD SATA 6 Gb/s NCQ 64MB Cache 3.5-Inch Internal Bare Drive ST320DM000</t>
  </si>
  <si>
    <t xml:space="preserve">Initial Clothing</t>
  </si>
  <si>
    <t xml:space="preserve">Allegra K Women's Self Tie Knot Stand Collar Striped Autumn Shirt</t>
  </si>
  <si>
    <t xml:space="preserve">Allegra K Women Fake Two Piece Splicing Drawstring Hooded Tunic Shirt</t>
  </si>
  <si>
    <t xml:space="preserve">Temptation Earring -Left Ear</t>
  </si>
  <si>
    <t xml:space="preserve">Allegra K Women's 2-Fer Bracelet Sleeve Ruched Front Blouse</t>
  </si>
  <si>
    <t xml:space="preserve">Lamaze Cotton Spandex Sleep Bra for Nursing and Maternity</t>
  </si>
  <si>
    <t xml:space="preserve">Vintage, Retro Colorful Crystal Owl Pendant and Long Chain Necklace with Antiqued Bronze/Brass Finish</t>
  </si>
  <si>
    <t xml:space="preserve">KATGI Fashion Vintage Glazed Black Lady Cat Pendant Chain Necklace</t>
  </si>
  <si>
    <t xml:space="preserve">Allegra K Women's Long Sleeve Skull Printed Stretch Pullover Shirt</t>
  </si>
  <si>
    <t xml:space="preserve">Allegra K Women's Scoop Neck Long Sleeve Bar Striped Hem Tunic Shirt</t>
  </si>
  <si>
    <t xml:space="preserve">Allegra K Women Scoop Neck Short Dolman Sleeve Sash-waist Casual Dress</t>
  </si>
  <si>
    <t xml:space="preserve">Initial Food</t>
  </si>
  <si>
    <t xml:space="preserve">KIND PLUS, Almond Cashew + Omega-3, Gluten Free Bars (Pack of 12)</t>
  </si>
  <si>
    <t xml:space="preserve">Twinings English Breakfast Tea, K-Cup Portion Pack for Keurig K-Cup Brewers, 24-Count</t>
  </si>
  <si>
    <t xml:space="preserve">Keurig, The Original Donut Shop, 50 Count K-Cup Packs</t>
  </si>
  <si>
    <t xml:space="preserve">Grove Square Cappuccino, French Vanilla, 24-Count Single Serve Cup for Keurig K-Cup Brewers</t>
  </si>
  <si>
    <t xml:space="preserve">San Francisco Bay Coffee Breakfast Blend, 80 OneCup Single Serve Cups</t>
  </si>
  <si>
    <t xml:space="preserve">Grove Square Hot Cocoa, Dark, 24 Count Single Serve Cup for Keurig K-Cup Brewers</t>
  </si>
  <si>
    <t xml:space="preserve">Healthworks Raw Certified Organic Cacao Powder, 1 lb</t>
  </si>
  <si>
    <t xml:space="preserve">Green Mountain Coffee Dark Magic (Extra Bold), K-cups For Keurig Brewers, 24-count Box</t>
  </si>
  <si>
    <t xml:space="preserve">San Francisco Bay Coffee Fog Chaser, 80 OneCup Single Serve Cups</t>
  </si>
  <si>
    <t xml:space="preserve">Brooklyn Beans Breakfast Blend Decaffeinated CoffeeSingle-cup coffee for Keurig K-Cup Brewers for Keurig Brewers, 40 Count</t>
  </si>
  <si>
    <t xml:space="preserve">Session_expanded Electronic</t>
  </si>
  <si>
    <t xml:space="preserve">Anker&amp;reg; 2nd Gen Astro E3 10000mAh Dual-Port Ultra Compact External Battery Portable USB Charger Power Bank - PowerIQ&amp;trade; Broad Compatibility, Fast Charging, High Capacity - For iPhone 5s 5c 5, iPad Air mini, Galaxy S5 S4, Tab 2, Note 3 2, LG G3, Nexus, HTC One M8, MOTO X, PS Vita and More (Black)</t>
  </si>
  <si>
    <t xml:space="preserve">Lowepro Nova 170 AW Camera Bag</t>
  </si>
  <si>
    <t xml:space="preserve">Bose SoundLink Mini Bluetooth Speaker</t>
  </si>
  <si>
    <t xml:space="preserve">WD My Passport Ultra 2TB Portable External USB 3.0 Hard Drive with Auto Backup - Black</t>
  </si>
  <si>
    <t xml:space="preserve">Roku 3 Streaming Media Player</t>
  </si>
  <si>
    <t xml:space="preserve">Anker&amp;reg; USB 3.0 Multi-in-1 Card Reader 4-Slots for SDXC, SDHC, SD, CF, High-Speed CF (UDMA), MS, M2, Micro SDXC, Micro SDHC, Micro SD Cards [Support UHS-I Cards]</t>
  </si>
  <si>
    <t xml:space="preserve">JBL Charge Portable Wireless Bluetooth Speaker (Gray)</t>
  </si>
  <si>
    <t xml:space="preserve">Klear Screen Deluxe Cleaning Kit is the Ultimate Cleaning Solution for all your cleaning needs and contains everything you need to clean, protect, and preserve your Laptops, Desktops, LCD Displays, Plasma Displays, MP3 Players, PDA's, Cell Phones, and more.</t>
  </si>
  <si>
    <t xml:space="preserve">Session_expanded Clothing</t>
  </si>
  <si>
    <t xml:space="preserve">Teva Women's Omnium Sandal</t>
  </si>
  <si>
    <t xml:space="preserve">Wigwam Unisex Distance Running 2 Pack Running Socks</t>
  </si>
  <si>
    <t xml:space="preserve">Vans Classic Slip-On Shoes</t>
  </si>
  <si>
    <t xml:space="preserve">Hanes ComfortBlend EcoSmart Crewneck Men's T-Shirt</t>
  </si>
  <si>
    <t xml:space="preserve">Skechers Women's Go Walk Toasty Slip-On</t>
  </si>
  <si>
    <t xml:space="preserve">Columbia Women's Switchback II Jacket</t>
  </si>
  <si>
    <t xml:space="preserve">Nike Air Max 90 Essential</t>
  </si>
  <si>
    <t xml:space="preserve">Outdoor Research Lightstorm Bucket Hat</t>
  </si>
  <si>
    <t xml:space="preserve">Session_expanded Food</t>
  </si>
  <si>
    <t xml:space="preserve">King Arthur Flour Multipurpose Flour, Gluten Free, 24-ounces</t>
  </si>
  <si>
    <t xml:space="preserve">Bob's Red Mill - Baking Powder Double Aluminum Free Acting Gluten Free - 16 oz.</t>
  </si>
  <si>
    <t xml:space="preserve">McCormick Italian Seasoning, 6.25-Ounce</t>
  </si>
  <si>
    <t xml:space="preserve">Blue Diamond Oven Roasted Almonds, Sea Salt, 8-ounce container (pack of 6)</t>
  </si>
  <si>
    <t xml:space="preserve">Ghirardelli Chocolate Squares, Milk Chocolate with Caramel Filling, 0.53-Ounce Squares (Pack of 430)</t>
  </si>
  <si>
    <t xml:space="preserve">Wholesome Sweeteners Organic Coconut Sugar, 16-Ounce</t>
  </si>
  <si>
    <t xml:space="preserve">Monin Hazelnut Syrup (1 Single 750 ml bottle)</t>
  </si>
  <si>
    <t xml:space="preserve">Simply Organic Cumin Seed Ground Certified Organic, 2.31-Ounce Container</t>
  </si>
  <si>
    <t xml:space="preserve">Session Only Electronic</t>
  </si>
  <si>
    <t xml:space="preserve">ASUS GTX760-DC2OC-2GD5 GeForce GTX760 2GB GDDR5 256-bit, DVI-I/DVI-D/ HDMI/DP PCI-Express 3.0 SLI ready Graphic Card OC-selected 1072 MHz core</t>
  </si>
  <si>
    <t xml:space="preserve">Transcend 16GB Class 10 SDHC Flash Memory Card (TS16GSDHC10E)</t>
  </si>
  <si>
    <t xml:space="preserve">Session Only Clothing</t>
  </si>
  <si>
    <t xml:space="preserve">Tommy Hilfiger Men's Tommy Star Print Boxer</t>
  </si>
  <si>
    <t xml:space="preserve">Women's Stainless Steel Gold Colored 10-Strand Cable Wire Chain Necklace, 16&amp;quot;</t>
  </si>
  <si>
    <t xml:space="preserve">Sakkas Petite High Waist Shirred Stretch Pencil Skirt with Wide Belt</t>
  </si>
  <si>
    <t xml:space="preserve">Session Only Food</t>
  </si>
  <si>
    <t xml:space="preserve">Plocky's Hummus Chips, Original, 1-Ounce (Pack of 24)</t>
  </si>
  <si>
    <t xml:space="preserve">Nutiva Organic Extra Virgin Coconut Oil, 15-Ounce (Pack of 2)</t>
  </si>
  <si>
    <t xml:space="preserve">Expanded Electronic</t>
  </si>
  <si>
    <t xml:space="preserve">Professional Cleaning Set for DSLR Cameras (Canon, Nikon, Pentax, Sony) - Includes: Purosol All Natural Lens Cleaner 1 oz. Bottle + Lens Cleaning Pen + Lens Brush + Air Blower Cleaner + 50 Sheets Lens Tissue Paper + 3 Pack Oversize and Original Premium MagicFiber Microfibers Cleaning Cloths</t>
  </si>
  <si>
    <t xml:space="preserve">Expanded Clothing</t>
  </si>
  <si>
    <t xml:space="preserve">Ariat Women's York Boot</t>
  </si>
  <si>
    <t xml:space="preserve">KATGI Fashion Vintage Owl Retro Art Collection Charm Earrings or Pendant Necklace Collection</t>
  </si>
  <si>
    <t xml:space="preserve">Qupid Women's POTION62 Pointy Toe High Heel Stiletto Pump Shoes</t>
  </si>
  <si>
    <t xml:space="preserve">Levi's Men's Leather Belt With Padded Center</t>
  </si>
  <si>
    <t xml:space="preserve">Expanded Food</t>
  </si>
  <si>
    <t xml:space="preserve">Blue Diamond Almonds Wasabi &amp;amp; Soy Sauce, Value Pack, 16-Ounce Bag</t>
  </si>
  <si>
    <t xml:space="preserve">Mary's Gone Crackers Variety Pack with Onion, Herb, Black Pepper, Original, Caraway (5 pack) 6.5oz</t>
  </si>
  <si>
    <t xml:space="preserve">TABASCO brand SWEET &amp;amp; Spicy Pepper Sauce 5oz.</t>
  </si>
  <si>
    <t xml:space="preserve">McCormick Pure Vanilla Extract-16 OZ</t>
  </si>
  <si>
    <t xml:space="preserve">No Enrichment Electronic</t>
  </si>
  <si>
    <t xml:space="preserve">Manfrotto 190CXPRO4 4-Section Pro Carbon Fiber Tripod without Head</t>
  </si>
  <si>
    <t xml:space="preserve">Yamaha RX-V475 5.1-Channel Network AV Receiver with Airplay</t>
  </si>
  <si>
    <t xml:space="preserve">Corsair CX750 Builder Series ATX 80 PLUS Bronze Certified Power Supply</t>
  </si>
  <si>
    <t xml:space="preserve">No Enrichment Clothing</t>
  </si>
  <si>
    <t xml:space="preserve">Clarks Women's Ingalls Geneva Slip-On Loafer</t>
  </si>
  <si>
    <t xml:space="preserve">Dockers Men's Signature Khaki D4 Relaxed Fit Flat Front Pant</t>
  </si>
  <si>
    <t xml:space="preserve">Calvin Klein Men's Three-Pack Boxer Brief</t>
  </si>
  <si>
    <t xml:space="preserve">Lucky Brand Women's Printed Maxi Dress</t>
  </si>
  <si>
    <t xml:space="preserve">No Enrichment Food</t>
  </si>
  <si>
    <t xml:space="preserve">Green Giant Mixed Vegetable Blend, 15-Ounce (Pack of 6)</t>
  </si>
  <si>
    <t xml:space="preserve">Domino Premium Pure Cane Granulated Sugar 4lb Bag</t>
  </si>
  <si>
    <t xml:space="preserve">Rumford Aluminum Free Baking Powder, 8.1-Ounce Canisters - Pack of 2</t>
  </si>
  <si>
    <t xml:space="preserve">Simply Organic Garlic Powder Certified Organic, 3.64-Ounce Container</t>
  </si>
  <si>
    <t xml:space="preserve">Yehuda Hummus</t>
  </si>
  <si>
    <t xml:space="preserve">Justin's Nut Butter Natural Honey Almond Butter, 1.15 ounce Squeeze Packs, 10 Count,  (Pack of 3)</t>
  </si>
  <si>
    <t xml:space="preserve">No Evaluators Electronic</t>
  </si>
  <si>
    <t xml:space="preserve">Anker&amp;reg; Astro 5600mAh Portable External Battery Charger for Smartphones and Tablets such as iPhone 5s, Galaxy S5 S4 and More</t>
  </si>
  <si>
    <t xml:space="preserve">TP-LINK TL-WDR4300 Wireless N750 Dual Band Router, Gigabit, 2.4GHz 300Mbps+5Ghz 450Mbps, 2 USB port, Wireless On/Off Switch</t>
  </si>
  <si>
    <t xml:space="preserve">NEEWER&amp;reg; 160 LED CN-160 Dimmable Ultra High Power Panel Digital Camera / Camcorder Video Light, LED Light for Canon, Nikon, Pentax, Panasonic,SONY, Samsung and Olympus Digital SLR Cameras</t>
  </si>
  <si>
    <t xml:space="preserve">ASUS Transformer Infinity TF700T Mobile Docking - Champagne</t>
  </si>
  <si>
    <t xml:space="preserve">AmazonBasics High-Speed HDMI Cable and Toslink Digital Audio Optical Cable, 2 Pack</t>
  </si>
  <si>
    <t xml:space="preserve">No Evaluators Clothing</t>
  </si>
  <si>
    <t xml:space="preserve">Kate Spade Cedar Street Small Luciana Black Shoulder Bag PXRU4828-001</t>
  </si>
  <si>
    <t xml:space="preserve">Columbia Boys 8-20 Windy Explorer Jacket</t>
  </si>
  <si>
    <t xml:space="preserve">Fossil Women's ES3204 Riley Silver and Gold Tone Watch</t>
  </si>
  <si>
    <t xml:space="preserve">Aventura Women's Molly Cardigan</t>
  </si>
  <si>
    <t xml:space="preserve">Columbia Men's Techsun III Water Shoe</t>
  </si>
  <si>
    <t xml:space="preserve">The North Face Women's North Face Aconcagua Jacket</t>
  </si>
  <si>
    <t xml:space="preserve">No Evaluators Food</t>
  </si>
  <si>
    <t xml:space="preserve">Nature Valley Chewy Fruit &amp;amp; Nut Trail Mix Bars 6 Pack 7.4 oz</t>
  </si>
  <si>
    <t xml:space="preserve">Nature Valley Oats Honey Bar, 48-1.5 oz 2 bar pouches, total 96 Bars</t>
  </si>
  <si>
    <t xml:space="preserve">KIND Bar Variety Pack, 12-Count</t>
  </si>
  <si>
    <t xml:space="preserve">Annie's Homegrown Organic Vegan Fruit Snacks Variety Pack 24 (0.8oz)Pouches</t>
  </si>
  <si>
    <t xml:space="preserve">Nature Valley Protein Bars,Peanut, Almond and Dark Chocolate, 7.1-Ounce (Pack of 4)</t>
  </si>
  <si>
    <t xml:space="preserve">Nature Valley Breakfast Biscuits, Honey, 8.85 Ounce Box (Pack of 2)</t>
  </si>
  <si>
    <t xml:space="preserve">Health Best Dates Medjool, 16-Ounce Units (Pack of 3)</t>
  </si>
  <si>
    <t xml:space="preserve">Wonderful Pistachios, 16-Ounce Bag, Roasted and salted.</t>
  </si>
  <si>
    <t xml:space="preserve">No Graphs Electronic</t>
  </si>
  <si>
    <t xml:space="preserve">Synology DiskStation 2-Bay (Diskless) Network Attached Storage (DS213j)</t>
  </si>
  <si>
    <t xml:space="preserve">Corsair Professional Series&amp;nbsp; HX 1050 Watt ATX/EPS Modular 80 PLUS Gold (HX1050)</t>
  </si>
  <si>
    <t xml:space="preserve">No Graphs Clothing</t>
  </si>
  <si>
    <t xml:space="preserve">Mondaynoon Swarovski Elements Austrian Crystal Earrings &amp;quot;Sweet&amp;quot;</t>
  </si>
  <si>
    <t xml:space="preserve">No Graphs Food</t>
  </si>
</sst>
</file>

<file path=xl/styles.xml><?xml version="1.0" encoding="utf-8"?>
<styleSheet xmlns="http://schemas.openxmlformats.org/spreadsheetml/2006/main">
  <numFmts count="2">
    <numFmt numFmtId="164" formatCode="General"/>
    <numFmt numFmtId="165" formatCode="0.00"/>
  </numFmts>
  <fonts count="5">
    <font>
      <sz val="10"/>
      <name val="Arial"/>
      <family val="2"/>
    </font>
    <font>
      <sz val="10"/>
      <name val="Arial"/>
      <family val="0"/>
    </font>
    <font>
      <sz val="10"/>
      <name val="Arial"/>
      <family val="0"/>
    </font>
    <font>
      <sz val="10"/>
      <name val="Arial"/>
      <family val="0"/>
    </font>
    <font>
      <sz val="10"/>
      <name val="Courier New"/>
      <family val="3"/>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
    <xf numFmtId="164" fontId="0" fillId="0" borderId="0" xfId="0" applyFont="false" applyBorder="false" applyAlignment="false" applyProtection="false">
      <alignment horizontal="general" vertical="bottom"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4:S10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E23" activeCellId="0" sqref="E23"/>
    </sheetView>
  </sheetViews>
  <sheetFormatPr defaultColWidth="11.53515625" defaultRowHeight="12.8" customHeight="true" zeroHeight="false" outlineLevelRow="0" outlineLevelCol="0"/>
  <cols>
    <col collapsed="false" customWidth="true" hidden="false" outlineLevel="0" max="14" min="2" style="0" width="20.86"/>
    <col collapsed="false" customWidth="true" hidden="false" outlineLevel="0" max="16" min="15" style="0" width="23.37"/>
  </cols>
  <sheetData>
    <row r="4" customFormat="false" ht="12.8" hidden="false" customHeight="false" outlineLevel="0" collapsed="false">
      <c r="B4" s="0" t="s">
        <v>0</v>
      </c>
      <c r="C4" s="0" t="s">
        <v>1</v>
      </c>
      <c r="D4" s="0" t="s">
        <v>2</v>
      </c>
      <c r="E4" s="0" t="s">
        <v>3</v>
      </c>
      <c r="F4" s="0" t="s">
        <v>4</v>
      </c>
      <c r="G4" s="0" t="s">
        <v>5</v>
      </c>
      <c r="H4" s="0" t="s">
        <v>6</v>
      </c>
      <c r="I4" s="0" t="s">
        <v>7</v>
      </c>
      <c r="J4" s="0" t="s">
        <v>8</v>
      </c>
      <c r="K4" s="0" t="s">
        <v>9</v>
      </c>
      <c r="L4" s="0" t="s">
        <v>10</v>
      </c>
      <c r="M4" s="0" t="s">
        <v>11</v>
      </c>
      <c r="N4" s="0" t="s">
        <v>12</v>
      </c>
      <c r="O4" s="0" t="s">
        <v>13</v>
      </c>
      <c r="P4" s="0" t="s">
        <v>14</v>
      </c>
      <c r="Q4" s="0" t="s">
        <v>15</v>
      </c>
      <c r="R4" s="0" t="s">
        <v>16</v>
      </c>
      <c r="S4" s="0" t="s">
        <v>17</v>
      </c>
    </row>
    <row r="5" customFormat="false" ht="12.8" hidden="false" customHeight="false" outlineLevel="0" collapsed="false">
      <c r="B5" s="0" t="s">
        <v>18</v>
      </c>
      <c r="C5" s="0" t="s">
        <v>19</v>
      </c>
      <c r="D5" s="0" t="n">
        <v>1750</v>
      </c>
      <c r="E5" s="0" t="n">
        <v>403</v>
      </c>
      <c r="F5" s="0" t="n">
        <v>3.52</v>
      </c>
      <c r="G5" s="0" t="n">
        <v>2.98</v>
      </c>
      <c r="H5" s="0" t="n">
        <v>2.4</v>
      </c>
      <c r="I5" s="0" t="n">
        <f aca="false"> ROUND(E5/D5*100,2 )</f>
        <v>23.03</v>
      </c>
      <c r="J5" s="0" t="n">
        <v>1673</v>
      </c>
      <c r="K5" s="0" t="n">
        <f aca="false"> ROUND(J5/D5*100,2 )</f>
        <v>95.6</v>
      </c>
      <c r="L5" s="0" t="n">
        <v>4.62</v>
      </c>
      <c r="M5" s="0" t="n">
        <v>4.39</v>
      </c>
      <c r="N5" s="0" t="n">
        <v>2.8</v>
      </c>
      <c r="O5" s="0" t="n">
        <v>1270</v>
      </c>
      <c r="P5" s="0" t="n">
        <v>4.06</v>
      </c>
      <c r="Q5" s="0" t="n">
        <v>10.794</v>
      </c>
      <c r="R5" s="0" t="n">
        <v>0.373</v>
      </c>
      <c r="S5" s="0" t="n">
        <v>1.154</v>
      </c>
    </row>
    <row r="6" customFormat="false" ht="12.8" hidden="false" customHeight="false" outlineLevel="0" collapsed="false">
      <c r="C6" s="0" t="s">
        <v>20</v>
      </c>
      <c r="D6" s="0" t="n">
        <v>1910</v>
      </c>
      <c r="E6" s="0" t="n">
        <v>793</v>
      </c>
      <c r="F6" s="0" t="n">
        <v>3.31</v>
      </c>
      <c r="G6" s="0" t="n">
        <v>3.35</v>
      </c>
      <c r="H6" s="0" t="n">
        <v>2.66</v>
      </c>
      <c r="I6" s="0" t="n">
        <f aca="false"> ROUND(E6/D6*100,2 )</f>
        <v>41.52</v>
      </c>
      <c r="J6" s="0" t="n">
        <v>1810</v>
      </c>
      <c r="K6" s="0" t="n">
        <f aca="false"> ROUND(J6/D6*100,2 )</f>
        <v>94.76</v>
      </c>
      <c r="L6" s="0" t="n">
        <v>4.43</v>
      </c>
      <c r="M6" s="0" t="n">
        <v>4.09</v>
      </c>
      <c r="N6" s="0" t="n">
        <v>2.66</v>
      </c>
      <c r="O6" s="0" t="n">
        <v>1017</v>
      </c>
      <c r="P6" s="0" t="n">
        <v>3.92</v>
      </c>
      <c r="Q6" s="0" t="n">
        <v>11.622</v>
      </c>
      <c r="R6" s="0" t="n">
        <v>0.225</v>
      </c>
      <c r="S6" s="0" t="n">
        <v>0.539</v>
      </c>
    </row>
    <row r="7" customFormat="false" ht="12.8" hidden="false" customHeight="false" outlineLevel="0" collapsed="false">
      <c r="C7" s="0" t="s">
        <v>21</v>
      </c>
      <c r="D7" s="0" t="n">
        <v>1784</v>
      </c>
      <c r="E7" s="0" t="n">
        <v>421</v>
      </c>
      <c r="F7" s="0" t="n">
        <v>3.58</v>
      </c>
      <c r="G7" s="0" t="n">
        <v>3.12</v>
      </c>
      <c r="H7" s="0" t="n">
        <v>2.41</v>
      </c>
      <c r="I7" s="0" t="n">
        <f aca="false"> ROUND(E7/D7*100,2 )</f>
        <v>23.6</v>
      </c>
      <c r="J7" s="0" t="n">
        <v>1757</v>
      </c>
      <c r="K7" s="0" t="n">
        <f aca="false"> ROUND(J7/D7*100,2 )</f>
        <v>98.49</v>
      </c>
      <c r="L7" s="0" t="n">
        <v>4.57</v>
      </c>
      <c r="M7" s="0" t="n">
        <v>4.32</v>
      </c>
      <c r="N7" s="0" t="n">
        <v>3.23</v>
      </c>
      <c r="O7" s="0" t="n">
        <v>1336</v>
      </c>
      <c r="P7" s="0" t="n">
        <v>4.11</v>
      </c>
      <c r="Q7" s="0" t="n">
        <v>11.161</v>
      </c>
      <c r="R7" s="0" t="n">
        <v>0.348</v>
      </c>
      <c r="S7" s="0" t="n">
        <v>0.953</v>
      </c>
    </row>
    <row r="8" customFormat="false" ht="12.8" hidden="false" customHeight="false" outlineLevel="0" collapsed="false">
      <c r="B8" s="0" t="s">
        <v>22</v>
      </c>
      <c r="C8" s="0" t="s">
        <v>19</v>
      </c>
      <c r="D8" s="0" t="n">
        <v>1750</v>
      </c>
      <c r="E8" s="0" t="n">
        <v>398</v>
      </c>
      <c r="F8" s="0" t="n">
        <v>3.52</v>
      </c>
      <c r="G8" s="0" t="n">
        <v>2.98</v>
      </c>
      <c r="H8" s="0" t="n">
        <v>2.4</v>
      </c>
      <c r="I8" s="0" t="n">
        <f aca="false"> ROUND(E8/D8*100,2 )</f>
        <v>22.74</v>
      </c>
      <c r="J8" s="0" t="n">
        <v>1180</v>
      </c>
      <c r="K8" s="0" t="n">
        <f aca="false"> ROUND(J8/D8*100,2 )</f>
        <v>67.43</v>
      </c>
      <c r="L8" s="0" t="n">
        <v>4.15</v>
      </c>
      <c r="M8" s="0" t="n">
        <v>3.72</v>
      </c>
      <c r="N8" s="0" t="n">
        <v>2.55</v>
      </c>
      <c r="O8" s="0" t="n">
        <v>782</v>
      </c>
      <c r="P8" s="0" t="n">
        <v>4.17</v>
      </c>
      <c r="Q8" s="0" t="n">
        <v>11.017</v>
      </c>
      <c r="R8" s="0" t="n">
        <v>0.309</v>
      </c>
      <c r="S8" s="0" t="n">
        <v>0.997</v>
      </c>
    </row>
    <row r="9" customFormat="false" ht="12.8" hidden="false" customHeight="false" outlineLevel="0" collapsed="false">
      <c r="C9" s="0" t="s">
        <v>20</v>
      </c>
      <c r="D9" s="0" t="n">
        <v>1910</v>
      </c>
      <c r="E9" s="0" t="n">
        <v>787</v>
      </c>
      <c r="F9" s="0" t="n">
        <v>3.31</v>
      </c>
      <c r="G9" s="0" t="n">
        <v>3.34</v>
      </c>
      <c r="H9" s="0" t="n">
        <v>2.66</v>
      </c>
      <c r="I9" s="0" t="n">
        <f aca="false"> ROUND(E9/D9*100,2 )</f>
        <v>41.2</v>
      </c>
      <c r="J9" s="0" t="n">
        <v>1533</v>
      </c>
      <c r="K9" s="0" t="n">
        <f aca="false"> ROUND(J9/D9*100,2 )</f>
        <v>80.26</v>
      </c>
      <c r="L9" s="0" t="n">
        <v>4.19</v>
      </c>
      <c r="M9" s="0" t="n">
        <v>3.76</v>
      </c>
      <c r="N9" s="0" t="n">
        <v>2.57</v>
      </c>
      <c r="O9" s="0" t="n">
        <v>746</v>
      </c>
      <c r="P9" s="0" t="n">
        <v>3.43</v>
      </c>
      <c r="Q9" s="0" t="n">
        <v>11.686</v>
      </c>
      <c r="R9" s="0" t="n">
        <v>0.198</v>
      </c>
      <c r="S9" s="0" t="n">
        <v>0.525</v>
      </c>
    </row>
    <row r="10" customFormat="false" ht="12.8" hidden="false" customHeight="false" outlineLevel="0" collapsed="false">
      <c r="C10" s="0" t="s">
        <v>21</v>
      </c>
      <c r="D10" s="0" t="n">
        <v>1784</v>
      </c>
      <c r="E10" s="0" t="n">
        <v>460</v>
      </c>
      <c r="F10" s="0" t="n">
        <v>3.58</v>
      </c>
      <c r="G10" s="0" t="n">
        <v>3.14</v>
      </c>
      <c r="H10" s="0" t="n">
        <v>2.43</v>
      </c>
      <c r="I10" s="0" t="n">
        <f aca="false"> ROUND(E10/D10*100,2 )</f>
        <v>25.78</v>
      </c>
      <c r="J10" s="0" t="n">
        <v>1330</v>
      </c>
      <c r="K10" s="0" t="n">
        <f aca="false"> ROUND(J10/D10*100,2 )</f>
        <v>74.55</v>
      </c>
      <c r="L10" s="0" t="n">
        <v>4.18</v>
      </c>
      <c r="M10" s="0" t="n">
        <v>3.75</v>
      </c>
      <c r="N10" s="0" t="n">
        <v>2.86</v>
      </c>
      <c r="O10" s="0" t="n">
        <v>870</v>
      </c>
      <c r="P10" s="0" t="n">
        <v>4.4</v>
      </c>
      <c r="Q10" s="0" t="n">
        <v>11.308</v>
      </c>
      <c r="R10" s="0" t="n">
        <v>0.29</v>
      </c>
      <c r="S10" s="0" t="n">
        <v>0.815</v>
      </c>
    </row>
    <row r="11" customFormat="false" ht="12.8" hidden="false" customHeight="false" outlineLevel="0" collapsed="false">
      <c r="B11" s="0" t="s">
        <v>23</v>
      </c>
      <c r="C11" s="0" t="s">
        <v>19</v>
      </c>
      <c r="D11" s="0" t="n">
        <v>1750</v>
      </c>
      <c r="E11" s="0" t="n">
        <v>420</v>
      </c>
      <c r="F11" s="0" t="n">
        <v>3.52</v>
      </c>
      <c r="G11" s="0" t="n">
        <v>2.99</v>
      </c>
      <c r="H11" s="0" t="n">
        <v>2.42</v>
      </c>
      <c r="I11" s="0" t="n">
        <f aca="false"> ROUND(E11/D11*100,2 )</f>
        <v>24</v>
      </c>
      <c r="J11" s="0" t="n">
        <v>1690</v>
      </c>
      <c r="K11" s="0" t="n">
        <f aca="false"> ROUND(J11/D11*100,2 )</f>
        <v>96.57</v>
      </c>
      <c r="L11" s="0" t="n">
        <v>4.64</v>
      </c>
      <c r="M11" s="0" t="n">
        <v>4.43</v>
      </c>
      <c r="N11" s="0" t="n">
        <v>2.81</v>
      </c>
      <c r="O11" s="0" t="n">
        <v>1270</v>
      </c>
      <c r="P11" s="0" t="n">
        <v>4.06</v>
      </c>
      <c r="Q11" s="0" t="n">
        <v>10.745</v>
      </c>
      <c r="R11" s="0" t="n">
        <v>0.382</v>
      </c>
      <c r="S11" s="0" t="n">
        <v>1.269</v>
      </c>
    </row>
    <row r="12" customFormat="false" ht="12.8" hidden="false" customHeight="false" outlineLevel="0" collapsed="false">
      <c r="C12" s="0" t="s">
        <v>20</v>
      </c>
      <c r="D12" s="0" t="n">
        <v>1910</v>
      </c>
      <c r="E12" s="0" t="n">
        <v>779</v>
      </c>
      <c r="F12" s="0" t="n">
        <v>3.31</v>
      </c>
      <c r="G12" s="0" t="n">
        <v>3.34</v>
      </c>
      <c r="H12" s="0" t="n">
        <v>2.65</v>
      </c>
      <c r="I12" s="0" t="n">
        <f aca="false"> ROUND(E12/D12*100,2 )</f>
        <v>40.79</v>
      </c>
      <c r="J12" s="0" t="n">
        <v>1785</v>
      </c>
      <c r="K12" s="0" t="n">
        <f aca="false"> ROUND(J12/D12*100,2 )</f>
        <v>93.46</v>
      </c>
      <c r="L12" s="0" t="n">
        <v>4.4</v>
      </c>
      <c r="M12" s="0" t="n">
        <v>4.05</v>
      </c>
      <c r="N12" s="0" t="n">
        <v>2.64</v>
      </c>
      <c r="O12" s="0" t="n">
        <v>1006</v>
      </c>
      <c r="P12" s="0" t="n">
        <v>3.91</v>
      </c>
      <c r="Q12" s="0" t="n">
        <v>11.549</v>
      </c>
      <c r="R12" s="0" t="n">
        <v>0.239</v>
      </c>
      <c r="S12" s="0" t="n">
        <v>0.599</v>
      </c>
    </row>
    <row r="13" customFormat="false" ht="12.8" hidden="false" customHeight="false" outlineLevel="0" collapsed="false">
      <c r="C13" s="0" t="s">
        <v>21</v>
      </c>
      <c r="D13" s="0" t="n">
        <v>1784</v>
      </c>
      <c r="E13" s="0" t="n">
        <v>444</v>
      </c>
      <c r="F13" s="0" t="n">
        <v>3.58</v>
      </c>
      <c r="G13" s="0" t="n">
        <v>3.12</v>
      </c>
      <c r="H13" s="0" t="n">
        <v>2.42</v>
      </c>
      <c r="I13" s="0" t="n">
        <f aca="false"> ROUND(E13/D13*100,2 )</f>
        <v>24.89</v>
      </c>
      <c r="J13" s="0" t="n">
        <v>1756</v>
      </c>
      <c r="K13" s="0" t="n">
        <f aca="false"> ROUND(J13/D13*100,2 )</f>
        <v>98.43</v>
      </c>
      <c r="L13" s="0" t="n">
        <v>4.57</v>
      </c>
      <c r="M13" s="0" t="n">
        <v>4.31</v>
      </c>
      <c r="N13" s="0" t="n">
        <v>3.21</v>
      </c>
      <c r="O13" s="0" t="n">
        <v>1312</v>
      </c>
      <c r="P13" s="0" t="n">
        <v>3.98</v>
      </c>
      <c r="Q13" s="0" t="n">
        <v>11.125</v>
      </c>
      <c r="R13" s="0" t="n">
        <v>0.355</v>
      </c>
      <c r="S13" s="0" t="n">
        <v>0.972</v>
      </c>
    </row>
    <row r="14" customFormat="false" ht="12.8" hidden="false" customHeight="false" outlineLevel="0" collapsed="false">
      <c r="B14" s="0" t="s">
        <v>24</v>
      </c>
      <c r="C14" s="0" t="s">
        <v>19</v>
      </c>
      <c r="D14" s="0" t="n">
        <v>1750</v>
      </c>
      <c r="E14" s="0" t="n">
        <v>420</v>
      </c>
      <c r="F14" s="0" t="n">
        <v>3.52</v>
      </c>
      <c r="G14" s="0" t="n">
        <v>2.96</v>
      </c>
      <c r="H14" s="0" t="n">
        <v>2.39</v>
      </c>
      <c r="I14" s="0" t="n">
        <f aca="false"> ROUND(E14/D14*100,2 )</f>
        <v>24</v>
      </c>
      <c r="J14" s="0" t="n">
        <v>1690</v>
      </c>
      <c r="K14" s="0" t="n">
        <f aca="false"> ROUND(J14/D14*100,2 )</f>
        <v>96.57</v>
      </c>
      <c r="L14" s="0" t="n">
        <v>4.64</v>
      </c>
      <c r="M14" s="0" t="n">
        <v>4.43</v>
      </c>
      <c r="N14" s="0" t="n">
        <v>2.79</v>
      </c>
      <c r="O14" s="0" t="n">
        <v>1270</v>
      </c>
      <c r="P14" s="0" t="n">
        <v>3.92</v>
      </c>
      <c r="Q14" s="0" t="n">
        <v>10.774</v>
      </c>
      <c r="R14" s="0" t="n">
        <v>0.376</v>
      </c>
      <c r="S14" s="0" t="n">
        <v>1.178</v>
      </c>
    </row>
    <row r="15" customFormat="false" ht="12.8" hidden="false" customHeight="false" outlineLevel="0" collapsed="false">
      <c r="C15" s="0" t="s">
        <v>20</v>
      </c>
      <c r="D15" s="0" t="n">
        <v>1910</v>
      </c>
      <c r="E15" s="0" t="n">
        <v>780</v>
      </c>
      <c r="F15" s="0" t="n">
        <v>3.31</v>
      </c>
      <c r="G15" s="0" t="n">
        <v>3.33</v>
      </c>
      <c r="H15" s="0" t="n">
        <v>2.65</v>
      </c>
      <c r="I15" s="0" t="n">
        <f aca="false"> ROUND(E15/D15*100,2 )</f>
        <v>40.84</v>
      </c>
      <c r="J15" s="0" t="n">
        <v>1852</v>
      </c>
      <c r="K15" s="0" t="n">
        <f aca="false"> ROUND(J15/D15*100,2 )</f>
        <v>96.96</v>
      </c>
      <c r="L15" s="0" t="n">
        <v>4.45</v>
      </c>
      <c r="M15" s="0" t="n">
        <v>4.15</v>
      </c>
      <c r="N15" s="0" t="n">
        <v>2.66</v>
      </c>
      <c r="O15" s="0" t="n">
        <v>1072</v>
      </c>
      <c r="P15" s="0" t="n">
        <v>3.26</v>
      </c>
      <c r="Q15" s="0" t="n">
        <v>11.583</v>
      </c>
      <c r="R15" s="0" t="n">
        <v>0.234</v>
      </c>
      <c r="S15" s="0" t="n">
        <v>0.564</v>
      </c>
    </row>
    <row r="16" customFormat="false" ht="12.8" hidden="false" customHeight="false" outlineLevel="0" collapsed="false">
      <c r="C16" s="0" t="s">
        <v>21</v>
      </c>
      <c r="D16" s="0" t="n">
        <v>1784</v>
      </c>
      <c r="E16" s="0" t="n">
        <v>447</v>
      </c>
      <c r="F16" s="0" t="n">
        <v>3.58</v>
      </c>
      <c r="G16" s="0" t="n">
        <v>3.13</v>
      </c>
      <c r="H16" s="0" t="n">
        <v>2.43</v>
      </c>
      <c r="I16" s="0" t="n">
        <f aca="false"> ROUND(E16/D16*100,2 )</f>
        <v>25.06</v>
      </c>
      <c r="J16" s="0" t="n">
        <v>1771</v>
      </c>
      <c r="K16" s="0" t="n">
        <f aca="false"> ROUND(J16/D16*100,2 )</f>
        <v>99.27</v>
      </c>
      <c r="L16" s="0" t="n">
        <v>4.59</v>
      </c>
      <c r="M16" s="0" t="n">
        <v>4.34</v>
      </c>
      <c r="N16" s="0" t="n">
        <v>3.25</v>
      </c>
      <c r="O16" s="0" t="n">
        <v>1324</v>
      </c>
      <c r="P16" s="0" t="n">
        <v>3.51</v>
      </c>
      <c r="Q16" s="0" t="n">
        <v>11.139</v>
      </c>
      <c r="R16" s="0" t="n">
        <v>0.354</v>
      </c>
      <c r="S16" s="0" t="n">
        <v>0.964</v>
      </c>
    </row>
    <row r="17" customFormat="false" ht="12.8" hidden="false" customHeight="false" outlineLevel="0" collapsed="false">
      <c r="B17" s="0" t="s">
        <v>25</v>
      </c>
      <c r="C17" s="0" t="s">
        <v>19</v>
      </c>
      <c r="D17" s="0" t="n">
        <v>1750</v>
      </c>
      <c r="E17" s="0" t="n">
        <v>423</v>
      </c>
      <c r="F17" s="0" t="n">
        <v>3.52</v>
      </c>
      <c r="G17" s="0" t="n">
        <v>2.98</v>
      </c>
      <c r="H17" s="0" t="n">
        <v>2.41</v>
      </c>
      <c r="I17" s="0" t="n">
        <f aca="false"> ROUND(E17/D17*100,2 )</f>
        <v>24.17</v>
      </c>
      <c r="J17" s="0" t="n">
        <v>682</v>
      </c>
      <c r="K17" s="0" t="n">
        <f aca="false"> ROUND(J17/D17*100,2 )</f>
        <v>38.97</v>
      </c>
      <c r="L17" s="0" t="n">
        <v>3.7</v>
      </c>
      <c r="M17" s="0" t="n">
        <v>3.19</v>
      </c>
      <c r="N17" s="0" t="n">
        <v>9.75</v>
      </c>
      <c r="O17" s="0" t="n">
        <v>259</v>
      </c>
      <c r="P17" s="0" t="n">
        <v>1.79</v>
      </c>
      <c r="Q17" s="0" t="n">
        <v>10.328</v>
      </c>
      <c r="R17" s="0" t="n">
        <v>0.619</v>
      </c>
      <c r="S17" s="0" t="n">
        <v>2.907</v>
      </c>
    </row>
    <row r="18" customFormat="false" ht="12.8" hidden="false" customHeight="false" outlineLevel="0" collapsed="false">
      <c r="B18" s="0" t="s">
        <v>26</v>
      </c>
      <c r="C18" s="0" t="s">
        <v>20</v>
      </c>
      <c r="D18" s="0" t="n">
        <v>1910</v>
      </c>
      <c r="E18" s="0" t="n">
        <v>784</v>
      </c>
      <c r="F18" s="0" t="n">
        <v>3.31</v>
      </c>
      <c r="G18" s="0" t="n">
        <v>3.34</v>
      </c>
      <c r="H18" s="0" t="n">
        <v>2.65</v>
      </c>
      <c r="I18" s="0" t="n">
        <f aca="false"> ROUND(E18/D18*100,2 )</f>
        <v>41.05</v>
      </c>
      <c r="J18" s="0" t="n">
        <v>1013</v>
      </c>
      <c r="K18" s="0" t="n">
        <f aca="false"> ROUND(J18/D18*100,2 )</f>
        <v>53.04</v>
      </c>
      <c r="L18" s="0" t="n">
        <v>3.81</v>
      </c>
      <c r="M18" s="0" t="n">
        <v>3.15</v>
      </c>
      <c r="N18" s="0" t="n">
        <v>8.11</v>
      </c>
      <c r="O18" s="0" t="n">
        <v>229</v>
      </c>
      <c r="P18" s="0" t="n">
        <v>2.03</v>
      </c>
      <c r="Q18" s="0" t="n">
        <v>11.231</v>
      </c>
      <c r="R18" s="0" t="n">
        <v>0.506</v>
      </c>
      <c r="S18" s="0" t="n">
        <v>1.914</v>
      </c>
    </row>
    <row r="19" customFormat="false" ht="12.8" hidden="false" customHeight="false" outlineLevel="0" collapsed="false">
      <c r="C19" s="0" t="s">
        <v>21</v>
      </c>
      <c r="D19" s="0" t="n">
        <v>1784</v>
      </c>
      <c r="E19" s="0" t="n">
        <v>448</v>
      </c>
      <c r="F19" s="0" t="n">
        <v>3.58</v>
      </c>
      <c r="G19" s="0" t="n">
        <v>3.13</v>
      </c>
      <c r="H19" s="0" t="n">
        <v>2.43</v>
      </c>
      <c r="I19" s="0" t="n">
        <f aca="false"> ROUND(E19/D19*100,2 )</f>
        <v>25.11</v>
      </c>
      <c r="J19" s="0" t="n">
        <v>704</v>
      </c>
      <c r="K19" s="0" t="n">
        <f aca="false"> ROUND(J19/D19*100,2 )</f>
        <v>39.46</v>
      </c>
      <c r="L19" s="0" t="n">
        <v>3.74</v>
      </c>
      <c r="M19" s="0" t="n">
        <v>3.1</v>
      </c>
      <c r="N19" s="0" t="n">
        <v>9.76</v>
      </c>
      <c r="O19" s="0" t="n">
        <v>256</v>
      </c>
      <c r="P19" s="0" t="n">
        <v>2.07</v>
      </c>
      <c r="Q19" s="0" t="n">
        <v>10.669</v>
      </c>
      <c r="R19" s="0" t="n">
        <v>0.58</v>
      </c>
      <c r="S19" s="0" t="n">
        <v>2.611</v>
      </c>
    </row>
    <row r="20" customFormat="false" ht="12.8" hidden="false" customHeight="false" outlineLevel="0" collapsed="false">
      <c r="B20" s="0" t="s">
        <v>27</v>
      </c>
      <c r="C20" s="0" t="s">
        <v>19</v>
      </c>
      <c r="D20" s="0" t="n">
        <v>1750</v>
      </c>
      <c r="E20" s="0" t="n">
        <v>425</v>
      </c>
      <c r="F20" s="0" t="n">
        <v>3.52</v>
      </c>
      <c r="G20" s="0" t="n">
        <v>2.97</v>
      </c>
      <c r="H20" s="0" t="n">
        <v>2.4</v>
      </c>
      <c r="I20" s="0" t="n">
        <f aca="false"> ROUND(E20/D20*100,2 )</f>
        <v>24.29</v>
      </c>
      <c r="J20" s="0" t="n">
        <v>1681</v>
      </c>
      <c r="K20" s="0" t="n">
        <f aca="false"> ROUND(J20/D20*100,2 )</f>
        <v>96.06</v>
      </c>
      <c r="L20" s="0" t="n">
        <v>4.63</v>
      </c>
      <c r="M20" s="0" t="n">
        <v>4.41</v>
      </c>
      <c r="N20" s="0" t="n">
        <v>2.84</v>
      </c>
      <c r="O20" s="0" t="n">
        <v>1256</v>
      </c>
      <c r="P20" s="0" t="n">
        <v>4.07</v>
      </c>
      <c r="Q20" s="0" t="n">
        <v>10.835</v>
      </c>
      <c r="R20" s="0" t="n">
        <v>0.369</v>
      </c>
      <c r="S20" s="0" t="n">
        <v>1.141</v>
      </c>
    </row>
    <row r="21" customFormat="false" ht="12.8" hidden="false" customHeight="false" outlineLevel="0" collapsed="false">
      <c r="C21" s="0" t="s">
        <v>20</v>
      </c>
      <c r="D21" s="0" t="n">
        <v>1910</v>
      </c>
      <c r="E21" s="0" t="n">
        <v>792</v>
      </c>
      <c r="F21" s="0" t="n">
        <v>3.31</v>
      </c>
      <c r="G21" s="0" t="n">
        <v>3.36</v>
      </c>
      <c r="H21" s="0" t="n">
        <v>2.68</v>
      </c>
      <c r="I21" s="0" t="n">
        <f aca="false"> ROUND(E21/D21*100,2 )</f>
        <v>41.47</v>
      </c>
      <c r="J21" s="0" t="n">
        <v>1808</v>
      </c>
      <c r="K21" s="0" t="n">
        <f aca="false"> ROUND(J21/D21*100,2 )</f>
        <v>94.66</v>
      </c>
      <c r="L21" s="0" t="n">
        <v>4.41</v>
      </c>
      <c r="M21" s="0" t="n">
        <v>4.07</v>
      </c>
      <c r="N21" s="0" t="n">
        <v>2.65</v>
      </c>
      <c r="O21" s="0" t="n">
        <v>1016</v>
      </c>
      <c r="P21" s="0" t="n">
        <v>3.87</v>
      </c>
      <c r="Q21" s="0" t="n">
        <v>11.611</v>
      </c>
      <c r="R21" s="0" t="n">
        <v>0.227</v>
      </c>
      <c r="S21" s="0" t="n">
        <v>0.539</v>
      </c>
    </row>
    <row r="22" customFormat="false" ht="12.8" hidden="false" customHeight="false" outlineLevel="0" collapsed="false">
      <c r="C22" s="0" t="s">
        <v>21</v>
      </c>
      <c r="D22" s="0" t="n">
        <v>1784</v>
      </c>
      <c r="E22" s="0" t="n">
        <v>459</v>
      </c>
      <c r="F22" s="0" t="n">
        <v>3.58</v>
      </c>
      <c r="G22" s="0" t="n">
        <v>3.14</v>
      </c>
      <c r="H22" s="0" t="n">
        <v>2.43</v>
      </c>
      <c r="I22" s="0" t="n">
        <f aca="false"> ROUND(E22/D22*100,2 )</f>
        <v>25.73</v>
      </c>
      <c r="J22" s="0" t="n">
        <v>1744</v>
      </c>
      <c r="K22" s="0" t="n">
        <f aca="false"> ROUND(J22/D22*100,2 )</f>
        <v>97.76</v>
      </c>
      <c r="L22" s="0" t="n">
        <v>4.56</v>
      </c>
      <c r="M22" s="0" t="n">
        <v>4.3</v>
      </c>
      <c r="N22" s="0" t="n">
        <v>3.23</v>
      </c>
      <c r="O22" s="0" t="n">
        <v>1285</v>
      </c>
      <c r="P22" s="0" t="n">
        <v>4.02</v>
      </c>
      <c r="Q22" s="0" t="n">
        <v>11.172</v>
      </c>
      <c r="R22" s="0" t="n">
        <v>0.347</v>
      </c>
      <c r="S22" s="0" t="n">
        <v>0.92</v>
      </c>
    </row>
    <row r="25" customFormat="false" ht="12.8" hidden="false" customHeight="false" outlineLevel="0" collapsed="false">
      <c r="P25" s="0" t="s">
        <v>28</v>
      </c>
      <c r="Q25" s="0" t="s">
        <v>15</v>
      </c>
      <c r="R25" s="0" t="s">
        <v>16</v>
      </c>
      <c r="S25" s="0" t="s">
        <v>17</v>
      </c>
    </row>
    <row r="26" customFormat="false" ht="12.8" hidden="false" customHeight="false" outlineLevel="0" collapsed="false">
      <c r="P26" s="0" t="s">
        <v>19</v>
      </c>
      <c r="Q26" s="0" t="n">
        <v>11.453</v>
      </c>
      <c r="R26" s="0" t="n">
        <v>0.307</v>
      </c>
      <c r="S26" s="0" t="n">
        <v>0.898</v>
      </c>
    </row>
    <row r="27" customFormat="false" ht="12.8" hidden="false" customHeight="false" outlineLevel="0" collapsed="false">
      <c r="P27" s="0" t="s">
        <v>20</v>
      </c>
      <c r="Q27" s="0" t="n">
        <v>12.005</v>
      </c>
      <c r="R27" s="0" t="n">
        <v>0.203</v>
      </c>
      <c r="S27" s="0" t="n">
        <v>0.454</v>
      </c>
    </row>
    <row r="28" customFormat="false" ht="12.8" hidden="false" customHeight="false" outlineLevel="0" collapsed="false">
      <c r="B28" s="0" t="s">
        <v>29</v>
      </c>
      <c r="C28" s="0" t="s">
        <v>1</v>
      </c>
      <c r="D28" s="0" t="s">
        <v>15</v>
      </c>
      <c r="E28" s="0" t="s">
        <v>16</v>
      </c>
      <c r="F28" s="0" t="s">
        <v>17</v>
      </c>
      <c r="G28" s="0" t="s">
        <v>30</v>
      </c>
      <c r="H28" s="0" t="s">
        <v>4</v>
      </c>
      <c r="P28" s="0" t="s">
        <v>21</v>
      </c>
      <c r="Q28" s="0" t="n">
        <v>11.627</v>
      </c>
      <c r="R28" s="0" t="n">
        <v>0.286</v>
      </c>
      <c r="S28" s="0" t="n">
        <v>0.721</v>
      </c>
    </row>
    <row r="29" customFormat="false" ht="12.8" hidden="false" customHeight="false" outlineLevel="0" collapsed="false">
      <c r="B29" s="0" t="s">
        <v>28</v>
      </c>
      <c r="C29" s="0" t="s">
        <v>19</v>
      </c>
      <c r="D29" s="0" t="n">
        <v>11.453</v>
      </c>
      <c r="E29" s="0" t="n">
        <v>0.307</v>
      </c>
      <c r="F29" s="0" t="n">
        <v>0.898</v>
      </c>
      <c r="G29" s="0" t="n">
        <f aca="false"> I5</f>
        <v>23.03</v>
      </c>
      <c r="H29" s="0" t="n">
        <v>3.52</v>
      </c>
    </row>
    <row r="30" customFormat="false" ht="12.8" hidden="false" customHeight="false" outlineLevel="0" collapsed="false">
      <c r="C30" s="0" t="s">
        <v>20</v>
      </c>
      <c r="D30" s="0" t="n">
        <v>12.005</v>
      </c>
      <c r="E30" s="0" t="n">
        <v>0.203</v>
      </c>
      <c r="F30" s="0" t="n">
        <v>0.454</v>
      </c>
      <c r="G30" s="0" t="n">
        <f aca="false"> I6</f>
        <v>41.52</v>
      </c>
      <c r="H30" s="0" t="n">
        <v>3.31</v>
      </c>
    </row>
    <row r="31" customFormat="false" ht="12.8" hidden="false" customHeight="false" outlineLevel="0" collapsed="false">
      <c r="C31" s="0" t="s">
        <v>21</v>
      </c>
      <c r="D31" s="0" t="n">
        <v>11.627</v>
      </c>
      <c r="E31" s="0" t="n">
        <v>0.286</v>
      </c>
      <c r="F31" s="0" t="n">
        <v>0.721</v>
      </c>
      <c r="G31" s="0" t="n">
        <f aca="false"> I7</f>
        <v>23.6</v>
      </c>
      <c r="H31" s="0" t="n">
        <v>3.58</v>
      </c>
    </row>
    <row r="32" customFormat="false" ht="12.8" hidden="false" customHeight="false" outlineLevel="0" collapsed="false">
      <c r="B32" s="0" t="s">
        <v>18</v>
      </c>
      <c r="C32" s="0" t="s">
        <v>19</v>
      </c>
      <c r="D32" s="0" t="n">
        <v>10.794</v>
      </c>
      <c r="E32" s="0" t="n">
        <v>0.373</v>
      </c>
      <c r="F32" s="0" t="n">
        <v>1.154</v>
      </c>
      <c r="G32" s="0" t="n">
        <f aca="false">K5</f>
        <v>95.6</v>
      </c>
      <c r="H32" s="0" t="n">
        <v>2.8</v>
      </c>
    </row>
    <row r="33" customFormat="false" ht="12.8" hidden="false" customHeight="false" outlineLevel="0" collapsed="false">
      <c r="C33" s="0" t="s">
        <v>20</v>
      </c>
      <c r="D33" s="0" t="n">
        <v>11.622</v>
      </c>
      <c r="E33" s="0" t="n">
        <v>0.225</v>
      </c>
      <c r="F33" s="0" t="n">
        <v>0.539</v>
      </c>
      <c r="G33" s="0" t="n">
        <f aca="false">K6</f>
        <v>94.76</v>
      </c>
      <c r="H33" s="0" t="n">
        <v>2.66</v>
      </c>
    </row>
    <row r="34" customFormat="false" ht="12.8" hidden="false" customHeight="false" outlineLevel="0" collapsed="false">
      <c r="C34" s="0" t="s">
        <v>21</v>
      </c>
      <c r="D34" s="0" t="n">
        <v>11.161</v>
      </c>
      <c r="E34" s="0" t="n">
        <v>0.348</v>
      </c>
      <c r="F34" s="0" t="n">
        <v>0.953</v>
      </c>
      <c r="G34" s="0" t="n">
        <f aca="false">K7</f>
        <v>98.49</v>
      </c>
      <c r="H34" s="0" t="n">
        <v>3.23</v>
      </c>
    </row>
    <row r="35" customFormat="false" ht="12.8" hidden="false" customHeight="false" outlineLevel="0" collapsed="false">
      <c r="B35" s="0" t="s">
        <v>22</v>
      </c>
      <c r="C35" s="0" t="s">
        <v>19</v>
      </c>
      <c r="D35" s="0" t="n">
        <v>11.017</v>
      </c>
      <c r="E35" s="0" t="n">
        <v>0.309</v>
      </c>
      <c r="F35" s="0" t="n">
        <v>0.997</v>
      </c>
      <c r="G35" s="0" t="n">
        <f aca="false">K8</f>
        <v>67.43</v>
      </c>
      <c r="H35" s="0" t="n">
        <v>2.55</v>
      </c>
    </row>
    <row r="36" customFormat="false" ht="12.8" hidden="false" customHeight="false" outlineLevel="0" collapsed="false">
      <c r="C36" s="0" t="s">
        <v>20</v>
      </c>
      <c r="D36" s="0" t="n">
        <v>11.686</v>
      </c>
      <c r="E36" s="0" t="n">
        <v>0.198</v>
      </c>
      <c r="F36" s="0" t="n">
        <v>0.525</v>
      </c>
      <c r="G36" s="0" t="n">
        <f aca="false">K9</f>
        <v>80.26</v>
      </c>
      <c r="H36" s="0" t="n">
        <v>2.57</v>
      </c>
    </row>
    <row r="37" customFormat="false" ht="12.8" hidden="false" customHeight="false" outlineLevel="0" collapsed="false">
      <c r="C37" s="0" t="s">
        <v>21</v>
      </c>
      <c r="D37" s="0" t="n">
        <v>11.308</v>
      </c>
      <c r="E37" s="0" t="n">
        <v>0.29</v>
      </c>
      <c r="F37" s="0" t="n">
        <v>0.815</v>
      </c>
      <c r="G37" s="0" t="n">
        <f aca="false">K10</f>
        <v>74.55</v>
      </c>
      <c r="H37" s="0" t="n">
        <v>2.86</v>
      </c>
    </row>
    <row r="38" customFormat="false" ht="12.8" hidden="false" customHeight="false" outlineLevel="0" collapsed="false">
      <c r="B38" s="0" t="s">
        <v>23</v>
      </c>
      <c r="C38" s="0" t="s">
        <v>19</v>
      </c>
      <c r="D38" s="0" t="n">
        <v>10.745</v>
      </c>
      <c r="E38" s="0" t="n">
        <v>0.382</v>
      </c>
      <c r="F38" s="0" t="n">
        <v>1.269</v>
      </c>
      <c r="G38" s="0" t="n">
        <f aca="false">K11</f>
        <v>96.57</v>
      </c>
      <c r="H38" s="0" t="n">
        <v>2.81</v>
      </c>
    </row>
    <row r="39" customFormat="false" ht="12.8" hidden="false" customHeight="false" outlineLevel="0" collapsed="false">
      <c r="C39" s="0" t="s">
        <v>20</v>
      </c>
      <c r="D39" s="0" t="n">
        <v>11.549</v>
      </c>
      <c r="E39" s="0" t="n">
        <v>0.239</v>
      </c>
      <c r="F39" s="0" t="n">
        <v>0.599</v>
      </c>
      <c r="G39" s="0" t="n">
        <f aca="false">K12</f>
        <v>93.46</v>
      </c>
      <c r="H39" s="0" t="n">
        <v>2.64</v>
      </c>
    </row>
    <row r="40" customFormat="false" ht="12.8" hidden="false" customHeight="false" outlineLevel="0" collapsed="false">
      <c r="C40" s="0" t="s">
        <v>21</v>
      </c>
      <c r="D40" s="0" t="n">
        <v>11.125</v>
      </c>
      <c r="E40" s="0" t="n">
        <v>0.355</v>
      </c>
      <c r="F40" s="0" t="n">
        <v>0.972</v>
      </c>
      <c r="G40" s="0" t="n">
        <f aca="false">K13</f>
        <v>98.43</v>
      </c>
      <c r="H40" s="0" t="n">
        <v>3.21</v>
      </c>
    </row>
    <row r="41" customFormat="false" ht="12.8" hidden="false" customHeight="false" outlineLevel="0" collapsed="false">
      <c r="B41" s="0" t="s">
        <v>24</v>
      </c>
      <c r="C41" s="0" t="s">
        <v>19</v>
      </c>
      <c r="D41" s="0" t="n">
        <v>10.774</v>
      </c>
      <c r="E41" s="0" t="n">
        <v>0.376</v>
      </c>
      <c r="F41" s="0" t="n">
        <v>1.178</v>
      </c>
      <c r="G41" s="0" t="n">
        <f aca="false">K14</f>
        <v>96.57</v>
      </c>
      <c r="H41" s="0" t="n">
        <v>2.79</v>
      </c>
    </row>
    <row r="42" customFormat="false" ht="12.8" hidden="false" customHeight="false" outlineLevel="0" collapsed="false">
      <c r="C42" s="0" t="s">
        <v>20</v>
      </c>
      <c r="D42" s="0" t="n">
        <v>11.583</v>
      </c>
      <c r="E42" s="0" t="n">
        <v>0.234</v>
      </c>
      <c r="F42" s="0" t="n">
        <v>0.564</v>
      </c>
      <c r="G42" s="0" t="n">
        <f aca="false">K15</f>
        <v>96.96</v>
      </c>
      <c r="H42" s="0" t="n">
        <v>2.66</v>
      </c>
    </row>
    <row r="43" customFormat="false" ht="12.8" hidden="false" customHeight="false" outlineLevel="0" collapsed="false">
      <c r="C43" s="0" t="s">
        <v>21</v>
      </c>
      <c r="D43" s="0" t="n">
        <v>11.139</v>
      </c>
      <c r="E43" s="0" t="n">
        <v>0.354</v>
      </c>
      <c r="F43" s="0" t="n">
        <v>0.964</v>
      </c>
      <c r="G43" s="0" t="n">
        <f aca="false">K16</f>
        <v>99.27</v>
      </c>
      <c r="H43" s="0" t="n">
        <v>3.25</v>
      </c>
    </row>
    <row r="44" customFormat="false" ht="12.8" hidden="false" customHeight="false" outlineLevel="0" collapsed="false">
      <c r="B44" s="0" t="s">
        <v>25</v>
      </c>
      <c r="C44" s="0" t="s">
        <v>19</v>
      </c>
      <c r="D44" s="0" t="n">
        <v>10.328</v>
      </c>
      <c r="E44" s="0" t="n">
        <v>0.619</v>
      </c>
      <c r="F44" s="0" t="n">
        <v>2.907</v>
      </c>
      <c r="G44" s="0" t="n">
        <f aca="false">K17</f>
        <v>38.97</v>
      </c>
      <c r="H44" s="0" t="n">
        <v>9.75</v>
      </c>
    </row>
    <row r="45" customFormat="false" ht="12.8" hidden="false" customHeight="false" outlineLevel="0" collapsed="false">
      <c r="C45" s="0" t="s">
        <v>20</v>
      </c>
      <c r="D45" s="0" t="n">
        <v>11.231</v>
      </c>
      <c r="E45" s="0" t="n">
        <v>0.506</v>
      </c>
      <c r="F45" s="0" t="n">
        <v>1.914</v>
      </c>
      <c r="G45" s="0" t="n">
        <f aca="false">K18</f>
        <v>53.04</v>
      </c>
      <c r="H45" s="0" t="n">
        <v>8.11</v>
      </c>
    </row>
    <row r="46" customFormat="false" ht="12.8" hidden="false" customHeight="false" outlineLevel="0" collapsed="false">
      <c r="C46" s="0" t="s">
        <v>21</v>
      </c>
      <c r="D46" s="0" t="n">
        <v>10.669</v>
      </c>
      <c r="E46" s="0" t="n">
        <v>0.58</v>
      </c>
      <c r="F46" s="0" t="n">
        <v>2.611</v>
      </c>
      <c r="G46" s="0" t="n">
        <f aca="false">K19</f>
        <v>39.46</v>
      </c>
      <c r="H46" s="0" t="n">
        <v>9.76</v>
      </c>
    </row>
    <row r="47" customFormat="false" ht="12.8" hidden="false" customHeight="false" outlineLevel="0" collapsed="false">
      <c r="B47" s="0" t="s">
        <v>27</v>
      </c>
      <c r="C47" s="0" t="s">
        <v>19</v>
      </c>
      <c r="D47" s="0" t="n">
        <v>10.835</v>
      </c>
      <c r="E47" s="0" t="n">
        <v>0.369</v>
      </c>
      <c r="F47" s="0" t="n">
        <v>1.141</v>
      </c>
      <c r="G47" s="0" t="n">
        <f aca="false">K20</f>
        <v>96.06</v>
      </c>
      <c r="H47" s="0" t="n">
        <v>2.84</v>
      </c>
    </row>
    <row r="48" customFormat="false" ht="12.8" hidden="false" customHeight="false" outlineLevel="0" collapsed="false">
      <c r="C48" s="0" t="s">
        <v>20</v>
      </c>
      <c r="D48" s="0" t="n">
        <v>11.611</v>
      </c>
      <c r="E48" s="0" t="n">
        <v>0.227</v>
      </c>
      <c r="F48" s="0" t="n">
        <v>0.539</v>
      </c>
      <c r="G48" s="0" t="n">
        <f aca="false">K21</f>
        <v>94.66</v>
      </c>
      <c r="H48" s="0" t="n">
        <v>2.65</v>
      </c>
    </row>
    <row r="49" customFormat="false" ht="12.8" hidden="false" customHeight="false" outlineLevel="0" collapsed="false">
      <c r="C49" s="0" t="s">
        <v>21</v>
      </c>
      <c r="D49" s="0" t="n">
        <v>11.172</v>
      </c>
      <c r="E49" s="0" t="n">
        <v>0.347</v>
      </c>
      <c r="F49" s="0" t="n">
        <v>0.92</v>
      </c>
      <c r="G49" s="0" t="n">
        <f aca="false">K22</f>
        <v>97.76</v>
      </c>
      <c r="H49" s="0" t="n">
        <v>3.23</v>
      </c>
    </row>
    <row r="57" customFormat="false" ht="12.8" hidden="false" customHeight="false" outlineLevel="0" collapsed="false">
      <c r="B57" s="0" t="s">
        <v>29</v>
      </c>
      <c r="C57" s="0" t="s">
        <v>1</v>
      </c>
      <c r="D57" s="0" t="s">
        <v>15</v>
      </c>
      <c r="E57" s="0" t="s">
        <v>31</v>
      </c>
      <c r="F57" s="0" t="s">
        <v>32</v>
      </c>
      <c r="G57" s="0" t="s">
        <v>33</v>
      </c>
    </row>
    <row r="58" customFormat="false" ht="12.8" hidden="false" customHeight="false" outlineLevel="0" collapsed="false">
      <c r="B58" s="0" t="s">
        <v>28</v>
      </c>
      <c r="C58" s="0" t="s">
        <v>19</v>
      </c>
      <c r="D58" s="0" t="n">
        <v>11.453</v>
      </c>
      <c r="E58" s="0" t="n">
        <f aca="false"> ROUND(2^D58,0)</f>
        <v>2803</v>
      </c>
      <c r="F58" s="0" t="n">
        <f aca="false">ROUND(E58/K58*100,2)</f>
        <v>80.11</v>
      </c>
      <c r="G58" s="1" t="n">
        <f aca="false">ROUND(D58/LOG(K58,2)*100,2)</f>
        <v>97.28</v>
      </c>
      <c r="K58" s="0" t="n">
        <v>3499</v>
      </c>
    </row>
    <row r="59" customFormat="false" ht="12.8" hidden="false" customHeight="false" outlineLevel="0" collapsed="false">
      <c r="C59" s="0" t="s">
        <v>20</v>
      </c>
      <c r="D59" s="0" t="n">
        <v>12.005</v>
      </c>
      <c r="E59" s="0" t="n">
        <f aca="false"> ROUND(2^D59,0)</f>
        <v>4110</v>
      </c>
      <c r="F59" s="0" t="n">
        <f aca="false">ROUND(E59/K59*100,2)</f>
        <v>91.6</v>
      </c>
      <c r="G59" s="1" t="n">
        <f aca="false">ROUND(D59/LOG(K59,2)*100,2)</f>
        <v>98.96</v>
      </c>
      <c r="K59" s="0" t="n">
        <v>4487</v>
      </c>
    </row>
    <row r="60" customFormat="false" ht="12.8" hidden="false" customHeight="false" outlineLevel="0" collapsed="false">
      <c r="C60" s="0" t="s">
        <v>21</v>
      </c>
      <c r="D60" s="0" t="n">
        <v>11.627</v>
      </c>
      <c r="E60" s="0" t="n">
        <f aca="false"> ROUND(2^D60,0)</f>
        <v>3163</v>
      </c>
      <c r="F60" s="0" t="n">
        <f aca="false">ROUND(E60/K60*100,2)</f>
        <v>83.97</v>
      </c>
      <c r="G60" s="1" t="n">
        <f aca="false">ROUND(D60/LOG(K60,2)*100,2)</f>
        <v>97.88</v>
      </c>
      <c r="K60" s="0" t="n">
        <v>3767</v>
      </c>
    </row>
    <row r="61" customFormat="false" ht="12.8" hidden="false" customHeight="false" outlineLevel="0" collapsed="false">
      <c r="B61" s="0" t="s">
        <v>18</v>
      </c>
      <c r="C61" s="0" t="s">
        <v>19</v>
      </c>
      <c r="D61" s="0" t="n">
        <v>10.794</v>
      </c>
      <c r="E61" s="0" t="n">
        <f aca="false"> ROUND(2^D61,0)</f>
        <v>1775</v>
      </c>
      <c r="F61" s="0" t="n">
        <f aca="false">ROUND(E61/K61*100,2)</f>
        <v>50.73</v>
      </c>
      <c r="G61" s="1" t="n">
        <f aca="false">ROUND(D61/LOG(K61,2)*100,2)</f>
        <v>91.69</v>
      </c>
      <c r="I61" s="0" t="n">
        <v>91.69</v>
      </c>
      <c r="J61" s="0" t="n">
        <v>91.52</v>
      </c>
      <c r="K61" s="0" t="n">
        <v>3499</v>
      </c>
    </row>
    <row r="62" customFormat="false" ht="12.8" hidden="false" customHeight="false" outlineLevel="0" collapsed="false">
      <c r="C62" s="0" t="s">
        <v>20</v>
      </c>
      <c r="D62" s="0" t="n">
        <v>11.622</v>
      </c>
      <c r="E62" s="0" t="n">
        <f aca="false"> ROUND(2^D62,0)</f>
        <v>3152</v>
      </c>
      <c r="F62" s="0" t="n">
        <f aca="false">ROUND(E62/K62*100,2)</f>
        <v>70.25</v>
      </c>
      <c r="G62" s="1" t="n">
        <f aca="false">ROUND(D62/LOG(K62,2)*100,2)</f>
        <v>95.8</v>
      </c>
      <c r="I62" s="0" t="n">
        <v>95.8</v>
      </c>
      <c r="J62" s="0" t="n">
        <v>95.48</v>
      </c>
      <c r="K62" s="0" t="n">
        <v>4487</v>
      </c>
    </row>
    <row r="63" customFormat="false" ht="12.8" hidden="false" customHeight="false" outlineLevel="0" collapsed="false">
      <c r="C63" s="0" t="s">
        <v>21</v>
      </c>
      <c r="D63" s="0" t="n">
        <v>11.161</v>
      </c>
      <c r="E63" s="0" t="n">
        <f aca="false"> ROUND(2^D63,0)</f>
        <v>2290</v>
      </c>
      <c r="F63" s="0" t="n">
        <f aca="false">ROUND(E63/K63*100,2)</f>
        <v>60.79</v>
      </c>
      <c r="G63" s="1" t="n">
        <f aca="false">ROUND(D63/LOG(K63,2)*100,2)</f>
        <v>93.95</v>
      </c>
      <c r="I63" s="0" t="n">
        <v>93.95</v>
      </c>
      <c r="J63" s="0" t="n">
        <v>93.77</v>
      </c>
      <c r="K63" s="0" t="n">
        <v>3767</v>
      </c>
    </row>
    <row r="64" customFormat="false" ht="12.8" hidden="false" customHeight="false" outlineLevel="0" collapsed="false">
      <c r="B64" s="0" t="s">
        <v>22</v>
      </c>
      <c r="C64" s="0" t="s">
        <v>19</v>
      </c>
      <c r="D64" s="0" t="n">
        <v>11.017</v>
      </c>
      <c r="E64" s="0" t="n">
        <f aca="false"> ROUND(2^D64,0)</f>
        <v>2072</v>
      </c>
      <c r="F64" s="0" t="n">
        <f aca="false">ROUND(E64/K64*100,2)</f>
        <v>59.22</v>
      </c>
      <c r="G64" s="1" t="n">
        <f aca="false">ROUND(D64/LOG(K64,2)*100,2)</f>
        <v>93.58</v>
      </c>
      <c r="K64" s="0" t="n">
        <v>3499</v>
      </c>
    </row>
    <row r="65" customFormat="false" ht="12.8" hidden="false" customHeight="false" outlineLevel="0" collapsed="false">
      <c r="C65" s="0" t="s">
        <v>20</v>
      </c>
      <c r="D65" s="0" t="n">
        <v>11.686</v>
      </c>
      <c r="E65" s="0" t="n">
        <f aca="false"> ROUND(2^D65,0)</f>
        <v>3295</v>
      </c>
      <c r="F65" s="0" t="n">
        <f aca="false">ROUND(E65/K65*100,2)</f>
        <v>73.43</v>
      </c>
      <c r="G65" s="1" t="n">
        <f aca="false">ROUND(D65/LOG(K65,2)*100,2)</f>
        <v>96.33</v>
      </c>
      <c r="K65" s="0" t="n">
        <v>4487</v>
      </c>
    </row>
    <row r="66" customFormat="false" ht="12.8" hidden="false" customHeight="false" outlineLevel="0" collapsed="false">
      <c r="C66" s="0" t="s">
        <v>21</v>
      </c>
      <c r="D66" s="0" t="n">
        <v>11.308</v>
      </c>
      <c r="E66" s="0" t="n">
        <f aca="false"> ROUND(2^D66,0)</f>
        <v>2535</v>
      </c>
      <c r="F66" s="0" t="n">
        <f aca="false">ROUND(E66/K66*100,2)</f>
        <v>67.29</v>
      </c>
      <c r="G66" s="1" t="n">
        <f aca="false">ROUND(D66/LOG(K66,2)*100,2)</f>
        <v>95.19</v>
      </c>
      <c r="K66" s="0" t="n">
        <v>3767</v>
      </c>
    </row>
    <row r="67" customFormat="false" ht="12.8" hidden="false" customHeight="false" outlineLevel="0" collapsed="false">
      <c r="B67" s="0" t="s">
        <v>23</v>
      </c>
      <c r="C67" s="0" t="s">
        <v>19</v>
      </c>
      <c r="D67" s="0" t="n">
        <v>10.745</v>
      </c>
      <c r="E67" s="0" t="n">
        <f aca="false"> ROUND(2^D67,0)</f>
        <v>1716</v>
      </c>
      <c r="F67" s="0" t="n">
        <f aca="false">ROUND(E67/K67*100,2)</f>
        <v>49.04</v>
      </c>
      <c r="G67" s="1" t="n">
        <f aca="false">ROUND(D67/LOG(K67,2)*100,2)</f>
        <v>91.27</v>
      </c>
      <c r="K67" s="0" t="n">
        <v>3499</v>
      </c>
    </row>
    <row r="68" customFormat="false" ht="12.8" hidden="false" customHeight="false" outlineLevel="0" collapsed="false">
      <c r="C68" s="0" t="s">
        <v>20</v>
      </c>
      <c r="D68" s="0" t="n">
        <v>11.549</v>
      </c>
      <c r="E68" s="0" t="n">
        <f aca="false"> ROUND(2^D68,0)</f>
        <v>2996</v>
      </c>
      <c r="F68" s="0" t="n">
        <f aca="false">ROUND(E68/K68*100,2)</f>
        <v>66.77</v>
      </c>
      <c r="G68" s="1" t="n">
        <f aca="false">ROUND(D68/LOG(K68,2)*100,2)</f>
        <v>95.2</v>
      </c>
      <c r="K68" s="0" t="n">
        <v>4487</v>
      </c>
    </row>
    <row r="69" customFormat="false" ht="12.8" hidden="false" customHeight="false" outlineLevel="0" collapsed="false">
      <c r="C69" s="0" t="s">
        <v>21</v>
      </c>
      <c r="D69" s="0" t="n">
        <v>11.125</v>
      </c>
      <c r="E69" s="0" t="n">
        <f aca="false"> ROUND(2^D69,0)</f>
        <v>2233</v>
      </c>
      <c r="F69" s="0" t="n">
        <f aca="false">ROUND(E69/K69*100,2)</f>
        <v>59.28</v>
      </c>
      <c r="G69" s="1" t="n">
        <f aca="false">ROUND(D69/LOG(K69,2)*100,2)</f>
        <v>93.65</v>
      </c>
      <c r="K69" s="0" t="n">
        <v>3767</v>
      </c>
    </row>
    <row r="70" customFormat="false" ht="12.8" hidden="false" customHeight="false" outlineLevel="0" collapsed="false">
      <c r="B70" s="0" t="s">
        <v>24</v>
      </c>
      <c r="C70" s="0" t="s">
        <v>19</v>
      </c>
      <c r="D70" s="0" t="n">
        <v>10.774</v>
      </c>
      <c r="E70" s="0" t="n">
        <f aca="false"> ROUND(2^D70,0)</f>
        <v>1751</v>
      </c>
      <c r="F70" s="0" t="n">
        <f aca="false">ROUND(E70/K70*100,2)</f>
        <v>50.04</v>
      </c>
      <c r="G70" s="1" t="n">
        <f aca="false">ROUND(D70/LOG(K70,2)*100,2)</f>
        <v>91.52</v>
      </c>
      <c r="K70" s="0" t="n">
        <v>3499</v>
      </c>
    </row>
    <row r="71" customFormat="false" ht="12.8" hidden="false" customHeight="false" outlineLevel="0" collapsed="false">
      <c r="C71" s="0" t="s">
        <v>20</v>
      </c>
      <c r="D71" s="0" t="n">
        <v>11.583</v>
      </c>
      <c r="E71" s="0" t="n">
        <f aca="false"> ROUND(2^D71,0)</f>
        <v>3068</v>
      </c>
      <c r="F71" s="0" t="n">
        <f aca="false">ROUND(E71/K71*100,2)</f>
        <v>68.38</v>
      </c>
      <c r="G71" s="1" t="n">
        <f aca="false">ROUND(D71/LOG(K71,2)*100,2)</f>
        <v>95.48</v>
      </c>
      <c r="K71" s="0" t="n">
        <v>4487</v>
      </c>
    </row>
    <row r="72" customFormat="false" ht="12.8" hidden="false" customHeight="false" outlineLevel="0" collapsed="false">
      <c r="C72" s="0" t="s">
        <v>21</v>
      </c>
      <c r="D72" s="0" t="n">
        <v>11.139</v>
      </c>
      <c r="E72" s="0" t="n">
        <f aca="false"> ROUND(2^D72,0)</f>
        <v>2255</v>
      </c>
      <c r="F72" s="0" t="n">
        <f aca="false">ROUND(E72/K72*100,2)</f>
        <v>59.86</v>
      </c>
      <c r="G72" s="1" t="n">
        <f aca="false">ROUND(D72/LOG(K72,2)*100,2)</f>
        <v>93.77</v>
      </c>
      <c r="K72" s="0" t="n">
        <v>3767</v>
      </c>
    </row>
    <row r="73" customFormat="false" ht="12.8" hidden="false" customHeight="false" outlineLevel="0" collapsed="false">
      <c r="B73" s="0" t="s">
        <v>25</v>
      </c>
      <c r="C73" s="0" t="s">
        <v>19</v>
      </c>
      <c r="D73" s="0" t="n">
        <v>10.328</v>
      </c>
      <c r="E73" s="0" t="n">
        <f aca="false"> ROUND(2^D73,0)</f>
        <v>1285</v>
      </c>
      <c r="F73" s="0" t="n">
        <f aca="false">ROUND(E73/K73*100,2)</f>
        <v>36.72</v>
      </c>
      <c r="G73" s="1" t="n">
        <f aca="false">ROUND(D73/LOG(K73,2)*100,2)</f>
        <v>87.73</v>
      </c>
      <c r="K73" s="0" t="n">
        <v>3499</v>
      </c>
    </row>
    <row r="74" customFormat="false" ht="12.8" hidden="false" customHeight="false" outlineLevel="0" collapsed="false">
      <c r="C74" s="0" t="s">
        <v>20</v>
      </c>
      <c r="D74" s="0" t="n">
        <v>11.231</v>
      </c>
      <c r="E74" s="0" t="n">
        <f aca="false"> ROUND(2^D74,0)</f>
        <v>2404</v>
      </c>
      <c r="F74" s="0" t="n">
        <f aca="false">ROUND(E74/K74*100,2)</f>
        <v>53.58</v>
      </c>
      <c r="G74" s="1" t="n">
        <f aca="false">ROUND(D74/LOG(K74,2)*100,2)</f>
        <v>92.58</v>
      </c>
      <c r="K74" s="0" t="n">
        <v>4487</v>
      </c>
    </row>
    <row r="75" customFormat="false" ht="12.8" hidden="false" customHeight="false" outlineLevel="0" collapsed="false">
      <c r="C75" s="0" t="s">
        <v>21</v>
      </c>
      <c r="D75" s="0" t="n">
        <v>10.669</v>
      </c>
      <c r="E75" s="0" t="n">
        <f aca="false"> ROUND(2^D75,0)</f>
        <v>1628</v>
      </c>
      <c r="F75" s="0" t="n">
        <f aca="false">ROUND(E75/K75*100,2)</f>
        <v>43.22</v>
      </c>
      <c r="G75" s="1" t="n">
        <f aca="false">ROUND(D75/LOG(K75,2)*100,2)</f>
        <v>89.81</v>
      </c>
      <c r="K75" s="0" t="n">
        <v>3767</v>
      </c>
    </row>
    <row r="76" customFormat="false" ht="12.8" hidden="false" customHeight="false" outlineLevel="0" collapsed="false">
      <c r="B76" s="0" t="s">
        <v>27</v>
      </c>
      <c r="C76" s="0" t="s">
        <v>19</v>
      </c>
      <c r="D76" s="0" t="n">
        <v>10.835</v>
      </c>
      <c r="E76" s="0" t="n">
        <f aca="false"> ROUND(2^D76,0)</f>
        <v>1827</v>
      </c>
      <c r="F76" s="0" t="n">
        <f aca="false">ROUND(E76/K76*100,2)</f>
        <v>52.21</v>
      </c>
      <c r="G76" s="1" t="n">
        <f aca="false">ROUND(D76/LOG(K76,2)*100,2)</f>
        <v>92.03</v>
      </c>
      <c r="K76" s="0" t="n">
        <v>3499</v>
      </c>
    </row>
    <row r="77" customFormat="false" ht="12.8" hidden="false" customHeight="false" outlineLevel="0" collapsed="false">
      <c r="C77" s="0" t="s">
        <v>20</v>
      </c>
      <c r="D77" s="0" t="n">
        <v>11.611</v>
      </c>
      <c r="E77" s="0" t="n">
        <f aca="false"> ROUND(2^D77,0)</f>
        <v>3128</v>
      </c>
      <c r="F77" s="0" t="n">
        <f aca="false">ROUND(E77/K77*100,2)</f>
        <v>69.71</v>
      </c>
      <c r="G77" s="1" t="n">
        <f aca="false">ROUND(D77/LOG(K77,2)*100,2)</f>
        <v>95.71</v>
      </c>
      <c r="K77" s="0" t="n">
        <v>4487</v>
      </c>
    </row>
    <row r="78" customFormat="false" ht="12.8" hidden="false" customHeight="false" outlineLevel="0" collapsed="false">
      <c r="C78" s="0" t="s">
        <v>21</v>
      </c>
      <c r="D78" s="0" t="n">
        <v>11.172</v>
      </c>
      <c r="E78" s="0" t="n">
        <f aca="false"> ROUND(2^D78,0)</f>
        <v>2307</v>
      </c>
      <c r="F78" s="0" t="n">
        <f aca="false">ROUND(E78/K78*100,2)</f>
        <v>61.24</v>
      </c>
      <c r="G78" s="1" t="n">
        <f aca="false">ROUND(D78/LOG(K78,2)*100,2)</f>
        <v>94.05</v>
      </c>
      <c r="K78" s="0" t="n">
        <v>3767</v>
      </c>
    </row>
    <row r="82" customFormat="false" ht="12.8" hidden="false" customHeight="false" outlineLevel="0" collapsed="false">
      <c r="B82" s="0" t="s">
        <v>29</v>
      </c>
      <c r="C82" s="0" t="s">
        <v>1</v>
      </c>
      <c r="D82" s="0" t="s">
        <v>34</v>
      </c>
      <c r="E82" s="0" t="s">
        <v>35</v>
      </c>
    </row>
    <row r="83" customFormat="false" ht="12.8" hidden="false" customHeight="false" outlineLevel="0" collapsed="false">
      <c r="B83" s="0" t="s">
        <v>28</v>
      </c>
      <c r="C83" s="0" t="s">
        <v>19</v>
      </c>
      <c r="D83" s="0" t="n">
        <v>3496</v>
      </c>
      <c r="E83" s="0" t="n">
        <f aca="false">ROUND(D83/K58*100,2)</f>
        <v>99.91</v>
      </c>
    </row>
    <row r="84" customFormat="false" ht="12.8" hidden="false" customHeight="false" outlineLevel="0" collapsed="false">
      <c r="C84" s="0" t="s">
        <v>20</v>
      </c>
      <c r="D84" s="0" t="n">
        <v>4483</v>
      </c>
      <c r="E84" s="0" t="n">
        <f aca="false">ROUND(D84/K59*100,2)</f>
        <v>99.91</v>
      </c>
    </row>
    <row r="85" customFormat="false" ht="12.8" hidden="false" customHeight="false" outlineLevel="0" collapsed="false">
      <c r="C85" s="0" t="s">
        <v>21</v>
      </c>
      <c r="D85" s="0" t="n">
        <v>3765</v>
      </c>
      <c r="E85" s="0" t="n">
        <f aca="false">ROUND(D85/K60*100,2)</f>
        <v>99.95</v>
      </c>
    </row>
    <row r="86" customFormat="false" ht="12.8" hidden="false" customHeight="false" outlineLevel="0" collapsed="false">
      <c r="B86" s="0" t="s">
        <v>18</v>
      </c>
      <c r="C86" s="0" t="s">
        <v>19</v>
      </c>
      <c r="D86" s="0" t="n">
        <v>2458</v>
      </c>
      <c r="E86" s="0" t="n">
        <f aca="false">ROUND(D86/K61*100,2)</f>
        <v>70.25</v>
      </c>
    </row>
    <row r="87" customFormat="false" ht="12.8" hidden="false" customHeight="false" outlineLevel="0" collapsed="false">
      <c r="C87" s="0" t="s">
        <v>20</v>
      </c>
      <c r="D87" s="0" t="n">
        <v>3523</v>
      </c>
      <c r="E87" s="0" t="n">
        <f aca="false">ROUND(D87/K62*100,2)</f>
        <v>78.52</v>
      </c>
    </row>
    <row r="88" customFormat="false" ht="12.8" hidden="false" customHeight="false" outlineLevel="0" collapsed="false">
      <c r="C88" s="0" t="s">
        <v>21</v>
      </c>
      <c r="D88" s="0" t="n">
        <v>2970</v>
      </c>
      <c r="E88" s="0" t="n">
        <f aca="false">ROUND(D88/K63*100,2)</f>
        <v>78.84</v>
      </c>
    </row>
    <row r="89" customFormat="false" ht="12.8" hidden="false" customHeight="false" outlineLevel="0" collapsed="false">
      <c r="B89" s="0" t="s">
        <v>22</v>
      </c>
      <c r="C89" s="0" t="s">
        <v>19</v>
      </c>
      <c r="D89" s="0" t="n">
        <v>2620</v>
      </c>
      <c r="E89" s="0" t="n">
        <f aca="false">ROUND(D89/K64*100,2)</f>
        <v>74.88</v>
      </c>
    </row>
    <row r="90" customFormat="false" ht="12.8" hidden="false" customHeight="false" outlineLevel="0" collapsed="false">
      <c r="C90" s="0" t="s">
        <v>20</v>
      </c>
      <c r="D90" s="0" t="n">
        <v>3621</v>
      </c>
      <c r="E90" s="0" t="n">
        <f aca="false">ROUND(D90/K65*100,2)</f>
        <v>80.7</v>
      </c>
    </row>
    <row r="91" customFormat="false" ht="12.8" hidden="false" customHeight="false" outlineLevel="0" collapsed="false">
      <c r="C91" s="0" t="s">
        <v>21</v>
      </c>
      <c r="D91" s="0" t="n">
        <v>3056</v>
      </c>
      <c r="E91" s="0" t="n">
        <f aca="false">ROUND(D91/K66*100,2)</f>
        <v>81.13</v>
      </c>
    </row>
    <row r="92" customFormat="false" ht="12.8" hidden="false" customHeight="false" outlineLevel="0" collapsed="false">
      <c r="B92" s="0" t="s">
        <v>23</v>
      </c>
      <c r="C92" s="0" t="s">
        <v>19</v>
      </c>
      <c r="D92" s="0" t="n">
        <v>2438</v>
      </c>
      <c r="E92" s="0" t="n">
        <f aca="false">ROUND(D92/K67*100,2)</f>
        <v>69.68</v>
      </c>
    </row>
    <row r="93" customFormat="false" ht="12.8" hidden="false" customHeight="false" outlineLevel="0" collapsed="false">
      <c r="C93" s="0" t="s">
        <v>20</v>
      </c>
      <c r="D93" s="0" t="n">
        <v>3408</v>
      </c>
      <c r="E93" s="0" t="n">
        <f aca="false">ROUND(D93/K68*100,2)</f>
        <v>75.95</v>
      </c>
      <c r="G93" s="0" t="s">
        <v>1</v>
      </c>
      <c r="H93" s="0" t="s">
        <v>36</v>
      </c>
      <c r="I93" s="0" t="s">
        <v>37</v>
      </c>
      <c r="J93" s="0" t="s">
        <v>38</v>
      </c>
      <c r="K93" s="0" t="s">
        <v>39</v>
      </c>
    </row>
    <row r="94" customFormat="false" ht="12.8" hidden="false" customHeight="false" outlineLevel="0" collapsed="false">
      <c r="C94" s="0" t="s">
        <v>21</v>
      </c>
      <c r="D94" s="0" t="n">
        <v>2934</v>
      </c>
      <c r="E94" s="0" t="n">
        <f aca="false">ROUND(D94/K69*100,2)</f>
        <v>77.89</v>
      </c>
      <c r="G94" s="0" t="s">
        <v>19</v>
      </c>
      <c r="H94" s="0" t="n">
        <v>2620</v>
      </c>
      <c r="I94" s="0" t="n">
        <v>2458</v>
      </c>
      <c r="J94" s="0" t="n">
        <v>2439</v>
      </c>
      <c r="K94" s="0" t="n">
        <v>2438</v>
      </c>
    </row>
    <row r="95" customFormat="false" ht="12.8" hidden="false" customHeight="false" outlineLevel="0" collapsed="false">
      <c r="B95" s="0" t="s">
        <v>24</v>
      </c>
      <c r="C95" s="0" t="s">
        <v>19</v>
      </c>
      <c r="D95" s="0" t="n">
        <v>2439</v>
      </c>
      <c r="E95" s="0" t="n">
        <f aca="false">ROUND(D95/K70*100,2)</f>
        <v>69.71</v>
      </c>
      <c r="G95" s="0" t="s">
        <v>20</v>
      </c>
      <c r="H95" s="0" t="n">
        <v>3621</v>
      </c>
      <c r="I95" s="0" t="n">
        <v>3523</v>
      </c>
      <c r="J95" s="0" t="n">
        <v>3460</v>
      </c>
      <c r="K95" s="0" t="n">
        <v>3408</v>
      </c>
    </row>
    <row r="96" customFormat="false" ht="12.8" hidden="false" customHeight="false" outlineLevel="0" collapsed="false">
      <c r="C96" s="0" t="s">
        <v>20</v>
      </c>
      <c r="D96" s="0" t="n">
        <v>3460</v>
      </c>
      <c r="E96" s="0" t="n">
        <f aca="false">ROUND(D96/K71*100,2)</f>
        <v>77.11</v>
      </c>
      <c r="G96" s="0" t="s">
        <v>21</v>
      </c>
      <c r="H96" s="0" t="n">
        <v>3056</v>
      </c>
      <c r="I96" s="0" t="n">
        <v>2970</v>
      </c>
      <c r="J96" s="0" t="n">
        <v>2957</v>
      </c>
      <c r="K96" s="0" t="n">
        <v>2934</v>
      </c>
    </row>
    <row r="97" customFormat="false" ht="12.8" hidden="false" customHeight="false" outlineLevel="0" collapsed="false">
      <c r="C97" s="0" t="s">
        <v>21</v>
      </c>
      <c r="D97" s="0" t="n">
        <v>2957</v>
      </c>
      <c r="E97" s="0" t="n">
        <f aca="false">ROUND(D97/K72*100,2)</f>
        <v>78.5</v>
      </c>
    </row>
    <row r="98" customFormat="false" ht="12.8" hidden="false" customHeight="false" outlineLevel="0" collapsed="false">
      <c r="B98" s="0" t="s">
        <v>25</v>
      </c>
      <c r="C98" s="0" t="s">
        <v>19</v>
      </c>
      <c r="D98" s="0" t="n">
        <v>3496</v>
      </c>
      <c r="E98" s="0" t="n">
        <f aca="false">ROUND(D98/K73*100,2)</f>
        <v>99.91</v>
      </c>
    </row>
    <row r="99" customFormat="false" ht="12.8" hidden="false" customHeight="false" outlineLevel="0" collapsed="false">
      <c r="C99" s="0" t="s">
        <v>20</v>
      </c>
      <c r="D99" s="0" t="n">
        <v>4483</v>
      </c>
      <c r="E99" s="0" t="n">
        <f aca="false">ROUND(D99/K74*100,2)</f>
        <v>99.91</v>
      </c>
    </row>
    <row r="100" customFormat="false" ht="12.8" hidden="false" customHeight="false" outlineLevel="0" collapsed="false">
      <c r="C100" s="0" t="s">
        <v>21</v>
      </c>
      <c r="D100" s="0" t="n">
        <v>3765</v>
      </c>
      <c r="E100" s="0" t="n">
        <f aca="false">ROUND(D100/K75*100,2)</f>
        <v>99.95</v>
      </c>
    </row>
    <row r="101" customFormat="false" ht="12.8" hidden="false" customHeight="false" outlineLevel="0" collapsed="false">
      <c r="B101" s="0" t="s">
        <v>27</v>
      </c>
      <c r="C101" s="0" t="s">
        <v>19</v>
      </c>
      <c r="D101" s="0" t="n">
        <v>2514</v>
      </c>
      <c r="E101" s="0" t="n">
        <f aca="false">ROUND(D101/K76*100,2)</f>
        <v>71.85</v>
      </c>
    </row>
    <row r="102" customFormat="false" ht="12.8" hidden="false" customHeight="false" outlineLevel="0" collapsed="false">
      <c r="C102" s="0" t="s">
        <v>20</v>
      </c>
      <c r="D102" s="0" t="n">
        <v>3502</v>
      </c>
      <c r="E102" s="0" t="n">
        <f aca="false">ROUND(D102/K77*100,2)</f>
        <v>78.05</v>
      </c>
    </row>
    <row r="103" customFormat="false" ht="12.8" hidden="false" customHeight="false" outlineLevel="0" collapsed="false">
      <c r="C103" s="0" t="s">
        <v>21</v>
      </c>
      <c r="D103" s="0" t="n">
        <v>2975</v>
      </c>
      <c r="E103" s="0" t="n">
        <f aca="false">ROUND(D103/K78*100,2)</f>
        <v>78.98</v>
      </c>
      <c r="G103" s="0" t="s">
        <v>1</v>
      </c>
      <c r="H103" s="0" t="s">
        <v>37</v>
      </c>
      <c r="I103" s="0" t="s">
        <v>39</v>
      </c>
    </row>
    <row r="104" customFormat="false" ht="12.8" hidden="false" customHeight="false" outlineLevel="0" collapsed="false">
      <c r="G104" s="0" t="s">
        <v>19</v>
      </c>
      <c r="H104" s="0" t="n">
        <v>2458</v>
      </c>
      <c r="I104" s="0" t="n">
        <v>2438</v>
      </c>
    </row>
    <row r="105" customFormat="false" ht="12.8" hidden="false" customHeight="false" outlineLevel="0" collapsed="false">
      <c r="G105" s="0" t="s">
        <v>20</v>
      </c>
      <c r="H105" s="0" t="n">
        <v>3523</v>
      </c>
      <c r="I105" s="0" t="n">
        <v>3408</v>
      </c>
    </row>
    <row r="106" customFormat="false" ht="12.8" hidden="false" customHeight="false" outlineLevel="0" collapsed="false">
      <c r="G106" s="0" t="s">
        <v>21</v>
      </c>
      <c r="H106" s="0" t="n">
        <v>2970</v>
      </c>
      <c r="I106" s="0" t="n">
        <v>2934</v>
      </c>
    </row>
  </sheetData>
  <printOptions headings="false" gridLines="false" gridLinesSet="true" horizontalCentered="false" verticalCentered="false"/>
  <pageMargins left="0.7875" right="0.7875" top="1.025" bottom="1.025" header="0.7875" footer="0.7875"/>
  <pageSetup paperSize="1" scale="100" fitToWidth="1" fitToHeight="1" pageOrder="downThenOver" orientation="portrait" blackAndWhite="false" draft="false" cellComments="none" firstPageNumber="1" useFirstPageNumber="true" horizontalDpi="300" verticalDpi="300" copies="1"/>
  <headerFooter differentFirst="false" differentOddEven="false">
    <oddHeader>&amp;C&amp;A</oddHeader>
    <oddFooter>&amp;CPage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5:C4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C31" activeCellId="0" sqref="C31"/>
    </sheetView>
  </sheetViews>
  <sheetFormatPr defaultColWidth="11.53515625" defaultRowHeight="12.8" customHeight="true" zeroHeight="false" outlineLevelRow="0" outlineLevelCol="0"/>
  <cols>
    <col collapsed="false" customWidth="true" hidden="false" outlineLevel="0" max="2" min="2" style="0" width="79.86"/>
  </cols>
  <sheetData>
    <row r="5" customFormat="false" ht="12.8" hidden="false" customHeight="false" outlineLevel="0" collapsed="false">
      <c r="B5" s="0" t="s">
        <v>40</v>
      </c>
      <c r="C5" s="0" t="s">
        <v>41</v>
      </c>
    </row>
    <row r="6" customFormat="false" ht="46.25" hidden="false" customHeight="true" outlineLevel="0" collapsed="false">
      <c r="B6" s="2" t="s">
        <v>42</v>
      </c>
    </row>
    <row r="7" customFormat="false" ht="46.25" hidden="false" customHeight="true" outlineLevel="0" collapsed="false">
      <c r="B7" s="2" t="s">
        <v>43</v>
      </c>
    </row>
    <row r="8" customFormat="false" ht="46.25" hidden="false" customHeight="true" outlineLevel="0" collapsed="false">
      <c r="B8" s="2" t="s">
        <v>44</v>
      </c>
    </row>
    <row r="9" customFormat="false" ht="46.25" hidden="false" customHeight="true" outlineLevel="0" collapsed="false">
      <c r="B9" s="2" t="s">
        <v>45</v>
      </c>
    </row>
    <row r="10" customFormat="false" ht="46.25" hidden="false" customHeight="true" outlineLevel="0" collapsed="false">
      <c r="B10" s="2" t="s">
        <v>46</v>
      </c>
    </row>
    <row r="11" customFormat="false" ht="46.25" hidden="false" customHeight="true" outlineLevel="0" collapsed="false">
      <c r="B11" s="2" t="s">
        <v>47</v>
      </c>
    </row>
    <row r="12" customFormat="false" ht="46.25" hidden="false" customHeight="true" outlineLevel="0" collapsed="false">
      <c r="B12" s="2" t="s">
        <v>48</v>
      </c>
    </row>
    <row r="13" customFormat="false" ht="46.25" hidden="false" customHeight="true" outlineLevel="0" collapsed="false">
      <c r="B13" s="2" t="s">
        <v>49</v>
      </c>
    </row>
    <row r="14" customFormat="false" ht="46.25" hidden="false" customHeight="true" outlineLevel="0" collapsed="false">
      <c r="B14" s="2" t="s">
        <v>50</v>
      </c>
    </row>
    <row r="15" customFormat="false" ht="46.25" hidden="false" customHeight="true" outlineLevel="0" collapsed="false">
      <c r="B15" s="2" t="s">
        <v>51</v>
      </c>
    </row>
    <row r="16" customFormat="false" ht="46.25" hidden="false" customHeight="true" outlineLevel="0" collapsed="false"/>
    <row r="17" customFormat="false" ht="46.25" hidden="false" customHeight="true" outlineLevel="0" collapsed="false">
      <c r="B17" s="0" t="s">
        <v>52</v>
      </c>
      <c r="C17" s="0" t="s">
        <v>41</v>
      </c>
    </row>
    <row r="18" customFormat="false" ht="46.25" hidden="false" customHeight="true" outlineLevel="0" collapsed="false">
      <c r="B18" s="2" t="s">
        <v>53</v>
      </c>
    </row>
    <row r="19" customFormat="false" ht="46.25" hidden="false" customHeight="true" outlineLevel="0" collapsed="false">
      <c r="B19" s="2" t="s">
        <v>54</v>
      </c>
    </row>
    <row r="20" customFormat="false" ht="46.25" hidden="false" customHeight="true" outlineLevel="0" collapsed="false">
      <c r="B20" s="2" t="s">
        <v>55</v>
      </c>
    </row>
    <row r="21" customFormat="false" ht="46.25" hidden="false" customHeight="true" outlineLevel="0" collapsed="false">
      <c r="B21" s="2" t="s">
        <v>56</v>
      </c>
    </row>
    <row r="22" customFormat="false" ht="46.25" hidden="false" customHeight="true" outlineLevel="0" collapsed="false">
      <c r="B22" s="2" t="s">
        <v>57</v>
      </c>
    </row>
    <row r="23" customFormat="false" ht="46.25" hidden="false" customHeight="true" outlineLevel="0" collapsed="false">
      <c r="B23" s="2" t="s">
        <v>58</v>
      </c>
    </row>
    <row r="24" customFormat="false" ht="46.25" hidden="false" customHeight="true" outlineLevel="0" collapsed="false">
      <c r="B24" s="2" t="s">
        <v>59</v>
      </c>
    </row>
    <row r="25" customFormat="false" ht="46.25" hidden="false" customHeight="true" outlineLevel="0" collapsed="false">
      <c r="B25" s="2" t="s">
        <v>60</v>
      </c>
    </row>
    <row r="26" customFormat="false" ht="46.25" hidden="false" customHeight="true" outlineLevel="0" collapsed="false">
      <c r="B26" s="2" t="s">
        <v>61</v>
      </c>
    </row>
    <row r="27" customFormat="false" ht="46.25" hidden="false" customHeight="true" outlineLevel="0" collapsed="false">
      <c r="B27" s="2" t="s">
        <v>62</v>
      </c>
    </row>
    <row r="28" customFormat="false" ht="46.25" hidden="false" customHeight="true" outlineLevel="0" collapsed="false"/>
    <row r="29" customFormat="false" ht="46.25" hidden="false" customHeight="true" outlineLevel="0" collapsed="false"/>
    <row r="30" customFormat="false" ht="46.25" hidden="false" customHeight="true" outlineLevel="0" collapsed="false">
      <c r="B30" s="0" t="s">
        <v>63</v>
      </c>
      <c r="C30" s="0" t="s">
        <v>41</v>
      </c>
    </row>
    <row r="31" customFormat="false" ht="46.25" hidden="false" customHeight="true" outlineLevel="0" collapsed="false">
      <c r="B31" s="2" t="s">
        <v>64</v>
      </c>
    </row>
    <row r="32" customFormat="false" ht="46.25" hidden="false" customHeight="true" outlineLevel="0" collapsed="false">
      <c r="B32" s="2" t="s">
        <v>65</v>
      </c>
    </row>
    <row r="33" customFormat="false" ht="46.25" hidden="false" customHeight="true" outlineLevel="0" collapsed="false">
      <c r="B33" s="2" t="s">
        <v>66</v>
      </c>
    </row>
    <row r="34" customFormat="false" ht="46.25" hidden="false" customHeight="true" outlineLevel="0" collapsed="false">
      <c r="B34" s="2" t="s">
        <v>67</v>
      </c>
    </row>
    <row r="35" customFormat="false" ht="46.25" hidden="false" customHeight="true" outlineLevel="0" collapsed="false">
      <c r="B35" s="2" t="s">
        <v>68</v>
      </c>
    </row>
    <row r="36" customFormat="false" ht="46.25" hidden="false" customHeight="true" outlineLevel="0" collapsed="false">
      <c r="B36" s="2" t="s">
        <v>69</v>
      </c>
    </row>
    <row r="37" customFormat="false" ht="46.25" hidden="false" customHeight="true" outlineLevel="0" collapsed="false">
      <c r="B37" s="2" t="s">
        <v>70</v>
      </c>
    </row>
    <row r="38" customFormat="false" ht="46.25" hidden="false" customHeight="true" outlineLevel="0" collapsed="false">
      <c r="B38" s="2" t="s">
        <v>71</v>
      </c>
    </row>
    <row r="39" customFormat="false" ht="46.25" hidden="false" customHeight="true" outlineLevel="0" collapsed="false">
      <c r="B39" s="2" t="s">
        <v>72</v>
      </c>
    </row>
    <row r="40" customFormat="false" ht="48.5" hidden="false" customHeight="true" outlineLevel="0" collapsed="false">
      <c r="B40" s="2" t="s">
        <v>73</v>
      </c>
    </row>
  </sheetData>
  <printOptions headings="false" gridLines="false" gridLinesSet="true" horizontalCentered="false" verticalCentered="false"/>
  <pageMargins left="0.7875" right="0.7875" top="1.025" bottom="1.025"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&amp;C&amp;A</oddHeader>
    <oddFooter>&amp;CPage &amp;P</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5:C40"/>
  <sheetViews>
    <sheetView showFormulas="false" showGridLines="true" showRowColHeaders="true" showZeros="true" rightToLeft="false" tabSelected="false" showOutlineSymbols="true" defaultGridColor="true" view="normal" topLeftCell="A30" colorId="64" zoomScale="100" zoomScaleNormal="100" zoomScalePageLayoutView="100" workbookViewId="0">
      <selection pane="topLeft" activeCell="B31" activeCellId="0" sqref="B31"/>
    </sheetView>
  </sheetViews>
  <sheetFormatPr defaultColWidth="11.53515625" defaultRowHeight="12.8" customHeight="true" zeroHeight="false" outlineLevelRow="0" outlineLevelCol="0"/>
  <cols>
    <col collapsed="false" customWidth="true" hidden="false" outlineLevel="0" max="2" min="2" style="0" width="79.86"/>
  </cols>
  <sheetData>
    <row r="5" customFormat="false" ht="12.8" hidden="false" customHeight="false" outlineLevel="0" collapsed="false">
      <c r="B5" s="0" t="s">
        <v>74</v>
      </c>
      <c r="C5" s="0" t="s">
        <v>41</v>
      </c>
    </row>
    <row r="6" customFormat="false" ht="46.25" hidden="false" customHeight="true" outlineLevel="0" collapsed="false">
      <c r="B6" s="2" t="s">
        <v>75</v>
      </c>
    </row>
    <row r="7" customFormat="false" ht="46.25" hidden="false" customHeight="true" outlineLevel="0" collapsed="false">
      <c r="B7" s="2" t="s">
        <v>42</v>
      </c>
    </row>
    <row r="8" customFormat="false" ht="46.25" hidden="false" customHeight="true" outlineLevel="0" collapsed="false">
      <c r="B8" s="2" t="s">
        <v>76</v>
      </c>
    </row>
    <row r="9" customFormat="false" ht="46.25" hidden="false" customHeight="true" outlineLevel="0" collapsed="false">
      <c r="B9" s="2" t="s">
        <v>77</v>
      </c>
    </row>
    <row r="10" customFormat="false" ht="46.25" hidden="false" customHeight="true" outlineLevel="0" collapsed="false">
      <c r="B10" s="2" t="s">
        <v>78</v>
      </c>
    </row>
    <row r="11" customFormat="false" ht="46.25" hidden="false" customHeight="true" outlineLevel="0" collapsed="false">
      <c r="B11" s="2" t="s">
        <v>79</v>
      </c>
    </row>
    <row r="12" customFormat="false" ht="46.25" hidden="false" customHeight="true" outlineLevel="0" collapsed="false">
      <c r="B12" s="2" t="s">
        <v>80</v>
      </c>
    </row>
    <row r="13" customFormat="false" ht="46.25" hidden="false" customHeight="true" outlineLevel="0" collapsed="false">
      <c r="B13" s="2" t="s">
        <v>81</v>
      </c>
    </row>
    <row r="14" customFormat="false" ht="46.25" hidden="false" customHeight="true" outlineLevel="0" collapsed="false">
      <c r="B14" s="2" t="s">
        <v>82</v>
      </c>
    </row>
    <row r="15" customFormat="false" ht="46.25" hidden="false" customHeight="true" outlineLevel="0" collapsed="false">
      <c r="B15" s="2" t="s">
        <v>43</v>
      </c>
    </row>
    <row r="16" customFormat="false" ht="46.25" hidden="false" customHeight="true" outlineLevel="0" collapsed="false"/>
    <row r="17" customFormat="false" ht="46.25" hidden="false" customHeight="true" outlineLevel="0" collapsed="false">
      <c r="B17" s="0" t="s">
        <v>83</v>
      </c>
    </row>
    <row r="18" customFormat="false" ht="46.25" hidden="false" customHeight="true" outlineLevel="0" collapsed="false">
      <c r="B18" s="2" t="s">
        <v>84</v>
      </c>
    </row>
    <row r="19" customFormat="false" ht="46.25" hidden="false" customHeight="true" outlineLevel="0" collapsed="false">
      <c r="B19" s="2" t="s">
        <v>85</v>
      </c>
    </row>
    <row r="20" customFormat="false" ht="46.25" hidden="false" customHeight="true" outlineLevel="0" collapsed="false">
      <c r="B20" s="2" t="s">
        <v>86</v>
      </c>
    </row>
    <row r="21" customFormat="false" ht="46.25" hidden="false" customHeight="true" outlineLevel="0" collapsed="false">
      <c r="B21" s="2" t="s">
        <v>87</v>
      </c>
    </row>
    <row r="22" customFormat="false" ht="46.25" hidden="false" customHeight="true" outlineLevel="0" collapsed="false">
      <c r="B22" s="2" t="s">
        <v>53</v>
      </c>
    </row>
    <row r="23" customFormat="false" ht="46.25" hidden="false" customHeight="true" outlineLevel="0" collapsed="false">
      <c r="B23" s="2" t="s">
        <v>88</v>
      </c>
    </row>
    <row r="24" customFormat="false" ht="46.25" hidden="false" customHeight="true" outlineLevel="0" collapsed="false">
      <c r="B24" s="2" t="s">
        <v>89</v>
      </c>
    </row>
    <row r="25" customFormat="false" ht="46.25" hidden="false" customHeight="true" outlineLevel="0" collapsed="false">
      <c r="B25" s="2" t="s">
        <v>56</v>
      </c>
    </row>
    <row r="26" customFormat="false" ht="46.25" hidden="false" customHeight="true" outlineLevel="0" collapsed="false">
      <c r="B26" s="2" t="s">
        <v>90</v>
      </c>
    </row>
    <row r="27" customFormat="false" ht="46.25" hidden="false" customHeight="true" outlineLevel="0" collapsed="false">
      <c r="B27" s="2" t="s">
        <v>91</v>
      </c>
    </row>
    <row r="28" customFormat="false" ht="46.25" hidden="false" customHeight="true" outlineLevel="0" collapsed="false"/>
    <row r="29" customFormat="false" ht="46.25" hidden="false" customHeight="true" outlineLevel="0" collapsed="false"/>
    <row r="30" customFormat="false" ht="46.25" hidden="false" customHeight="true" outlineLevel="0" collapsed="false">
      <c r="B30" s="0" t="s">
        <v>92</v>
      </c>
    </row>
    <row r="31" customFormat="false" ht="46.25" hidden="false" customHeight="true" outlineLevel="0" collapsed="false">
      <c r="B31" s="2" t="s">
        <v>93</v>
      </c>
    </row>
    <row r="32" customFormat="false" ht="46.25" hidden="false" customHeight="true" outlineLevel="0" collapsed="false">
      <c r="B32" s="2" t="s">
        <v>94</v>
      </c>
    </row>
    <row r="33" customFormat="false" ht="46.25" hidden="false" customHeight="true" outlineLevel="0" collapsed="false">
      <c r="B33" s="2" t="s">
        <v>95</v>
      </c>
    </row>
    <row r="34" customFormat="false" ht="46.25" hidden="false" customHeight="true" outlineLevel="0" collapsed="false">
      <c r="B34" s="2" t="s">
        <v>96</v>
      </c>
    </row>
    <row r="35" customFormat="false" ht="46.25" hidden="false" customHeight="true" outlineLevel="0" collapsed="false">
      <c r="B35" s="2" t="s">
        <v>97</v>
      </c>
    </row>
    <row r="36" customFormat="false" ht="46.25" hidden="false" customHeight="true" outlineLevel="0" collapsed="false">
      <c r="B36" s="2" t="s">
        <v>64</v>
      </c>
    </row>
    <row r="37" customFormat="false" ht="46.25" hidden="false" customHeight="true" outlineLevel="0" collapsed="false">
      <c r="B37" s="2" t="s">
        <v>98</v>
      </c>
    </row>
    <row r="38" customFormat="false" ht="46.25" hidden="false" customHeight="true" outlineLevel="0" collapsed="false">
      <c r="B38" s="2" t="s">
        <v>65</v>
      </c>
    </row>
    <row r="39" customFormat="false" ht="46.25" hidden="false" customHeight="true" outlineLevel="0" collapsed="false">
      <c r="B39" s="2" t="s">
        <v>99</v>
      </c>
    </row>
    <row r="40" customFormat="false" ht="48.5" hidden="false" customHeight="true" outlineLevel="0" collapsed="false">
      <c r="B40" s="2" t="s">
        <v>100</v>
      </c>
    </row>
  </sheetData>
  <printOptions headings="false" gridLines="false" gridLinesSet="true" horizontalCentered="false" verticalCentered="false"/>
  <pageMargins left="0.7875" right="0.7875" top="1.025" bottom="1.025"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&amp;C&amp;A</oddHeader>
    <oddFooter>&amp;CPage &amp;P</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5:C40"/>
  <sheetViews>
    <sheetView showFormulas="false" showGridLines="true" showRowColHeaders="true" showZeros="true" rightToLeft="false" tabSelected="false" showOutlineSymbols="true" defaultGridColor="true" view="normal" topLeftCell="A36" colorId="64" zoomScale="100" zoomScaleNormal="100" zoomScalePageLayoutView="100" workbookViewId="0">
      <selection pane="topLeft" activeCell="B31" activeCellId="0" sqref="B31"/>
    </sheetView>
  </sheetViews>
  <sheetFormatPr defaultColWidth="11.53515625" defaultRowHeight="12.8" customHeight="true" zeroHeight="false" outlineLevelRow="0" outlineLevelCol="0"/>
  <cols>
    <col collapsed="false" customWidth="true" hidden="false" outlineLevel="0" max="2" min="2" style="0" width="79.86"/>
  </cols>
  <sheetData>
    <row r="5" customFormat="false" ht="12.8" hidden="false" customHeight="false" outlineLevel="0" collapsed="false">
      <c r="B5" s="0" t="s">
        <v>101</v>
      </c>
      <c r="C5" s="0" t="s">
        <v>41</v>
      </c>
    </row>
    <row r="6" customFormat="false" ht="46.25" hidden="false" customHeight="true" outlineLevel="0" collapsed="false">
      <c r="B6" s="2" t="s">
        <v>102</v>
      </c>
    </row>
    <row r="7" customFormat="false" ht="46.25" hidden="false" customHeight="true" outlineLevel="0" collapsed="false">
      <c r="B7" s="2" t="s">
        <v>42</v>
      </c>
    </row>
    <row r="8" customFormat="false" ht="46.25" hidden="false" customHeight="true" outlineLevel="0" collapsed="false">
      <c r="B8" s="2" t="s">
        <v>43</v>
      </c>
    </row>
    <row r="9" customFormat="false" ht="46.25" hidden="false" customHeight="true" outlineLevel="0" collapsed="false">
      <c r="B9" s="2" t="s">
        <v>78</v>
      </c>
    </row>
    <row r="10" customFormat="false" ht="46.25" hidden="false" customHeight="true" outlineLevel="0" collapsed="false">
      <c r="B10" s="2" t="s">
        <v>46</v>
      </c>
    </row>
    <row r="11" customFormat="false" ht="46.25" hidden="false" customHeight="true" outlineLevel="0" collapsed="false">
      <c r="B11" s="2" t="s">
        <v>47</v>
      </c>
    </row>
    <row r="12" customFormat="false" ht="46.25" hidden="false" customHeight="true" outlineLevel="0" collapsed="false">
      <c r="B12" s="2" t="s">
        <v>48</v>
      </c>
    </row>
    <row r="13" customFormat="false" ht="46.25" hidden="false" customHeight="true" outlineLevel="0" collapsed="false">
      <c r="B13" s="2" t="s">
        <v>49</v>
      </c>
    </row>
    <row r="14" customFormat="false" ht="46.25" hidden="false" customHeight="true" outlineLevel="0" collapsed="false">
      <c r="B14" s="2" t="s">
        <v>50</v>
      </c>
    </row>
    <row r="15" customFormat="false" ht="46.25" hidden="false" customHeight="true" outlineLevel="0" collapsed="false">
      <c r="B15" s="2" t="s">
        <v>103</v>
      </c>
    </row>
    <row r="16" customFormat="false" ht="46.25" hidden="false" customHeight="true" outlineLevel="0" collapsed="false"/>
    <row r="17" customFormat="false" ht="46.25" hidden="false" customHeight="true" outlineLevel="0" collapsed="false">
      <c r="B17" s="0" t="s">
        <v>104</v>
      </c>
      <c r="C17" s="0" t="s">
        <v>41</v>
      </c>
    </row>
    <row r="18" customFormat="false" ht="46.25" hidden="false" customHeight="true" outlineLevel="0" collapsed="false">
      <c r="B18" s="2" t="s">
        <v>105</v>
      </c>
    </row>
    <row r="19" customFormat="false" ht="46.25" hidden="false" customHeight="true" outlineLevel="0" collapsed="false">
      <c r="B19" s="2" t="s">
        <v>53</v>
      </c>
    </row>
    <row r="20" customFormat="false" ht="46.25" hidden="false" customHeight="true" outlineLevel="0" collapsed="false">
      <c r="B20" s="2" t="s">
        <v>56</v>
      </c>
    </row>
    <row r="21" customFormat="false" ht="46.25" hidden="false" customHeight="true" outlineLevel="0" collapsed="false">
      <c r="B21" s="2" t="s">
        <v>57</v>
      </c>
    </row>
    <row r="22" customFormat="false" ht="46.25" hidden="false" customHeight="true" outlineLevel="0" collapsed="false">
      <c r="B22" s="2" t="s">
        <v>59</v>
      </c>
    </row>
    <row r="23" customFormat="false" ht="46.25" hidden="false" customHeight="true" outlineLevel="0" collapsed="false">
      <c r="B23" s="2" t="s">
        <v>54</v>
      </c>
    </row>
    <row r="24" customFormat="false" ht="46.25" hidden="false" customHeight="true" outlineLevel="0" collapsed="false">
      <c r="B24" s="2" t="s">
        <v>58</v>
      </c>
    </row>
    <row r="25" customFormat="false" ht="46.25" hidden="false" customHeight="true" outlineLevel="0" collapsed="false">
      <c r="B25" s="2" t="s">
        <v>61</v>
      </c>
    </row>
    <row r="26" customFormat="false" ht="46.25" hidden="false" customHeight="true" outlineLevel="0" collapsed="false">
      <c r="B26" s="2" t="s">
        <v>106</v>
      </c>
    </row>
    <row r="27" customFormat="false" ht="46.25" hidden="false" customHeight="true" outlineLevel="0" collapsed="false">
      <c r="B27" s="2" t="s">
        <v>107</v>
      </c>
    </row>
    <row r="28" customFormat="false" ht="46.25" hidden="false" customHeight="true" outlineLevel="0" collapsed="false"/>
    <row r="29" customFormat="false" ht="46.25" hidden="false" customHeight="true" outlineLevel="0" collapsed="false"/>
    <row r="30" customFormat="false" ht="46.25" hidden="false" customHeight="true" outlineLevel="0" collapsed="false">
      <c r="B30" s="0" t="s">
        <v>108</v>
      </c>
      <c r="C30" s="0" t="s">
        <v>41</v>
      </c>
    </row>
    <row r="31" customFormat="false" ht="46.25" hidden="false" customHeight="true" outlineLevel="0" collapsed="false">
      <c r="B31" s="2" t="s">
        <v>109</v>
      </c>
    </row>
    <row r="32" customFormat="false" ht="46.25" hidden="false" customHeight="true" outlineLevel="0" collapsed="false">
      <c r="B32" s="2" t="s">
        <v>64</v>
      </c>
    </row>
    <row r="33" customFormat="false" ht="46.25" hidden="false" customHeight="true" outlineLevel="0" collapsed="false">
      <c r="B33" s="2" t="s">
        <v>65</v>
      </c>
    </row>
    <row r="34" customFormat="false" ht="46.25" hidden="false" customHeight="true" outlineLevel="0" collapsed="false">
      <c r="B34" s="2" t="s">
        <v>71</v>
      </c>
    </row>
    <row r="35" customFormat="false" ht="46.25" hidden="false" customHeight="true" outlineLevel="0" collapsed="false">
      <c r="B35" s="2" t="s">
        <v>68</v>
      </c>
    </row>
    <row r="36" customFormat="false" ht="46.25" hidden="false" customHeight="true" outlineLevel="0" collapsed="false">
      <c r="B36" s="2" t="s">
        <v>110</v>
      </c>
    </row>
    <row r="37" customFormat="false" ht="46.25" hidden="false" customHeight="true" outlineLevel="0" collapsed="false">
      <c r="B37" s="2" t="s">
        <v>72</v>
      </c>
    </row>
    <row r="38" customFormat="false" ht="46.25" hidden="false" customHeight="true" outlineLevel="0" collapsed="false">
      <c r="B38" s="2" t="s">
        <v>67</v>
      </c>
    </row>
    <row r="39" customFormat="false" ht="46.25" hidden="false" customHeight="true" outlineLevel="0" collapsed="false">
      <c r="B39" s="2" t="s">
        <v>70</v>
      </c>
    </row>
    <row r="40" customFormat="false" ht="48.5" hidden="false" customHeight="true" outlineLevel="0" collapsed="false">
      <c r="B40" s="2" t="s">
        <v>66</v>
      </c>
    </row>
  </sheetData>
  <printOptions headings="false" gridLines="false" gridLinesSet="true" horizontalCentered="false" verticalCentered="false"/>
  <pageMargins left="0.7875" right="0.7875" top="1.025" bottom="1.025"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&amp;C&amp;A</oddHeader>
    <oddFooter>&amp;CPage &amp;P</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5:C40"/>
  <sheetViews>
    <sheetView showFormulas="false" showGridLines="true" showRowColHeaders="true" showZeros="true" rightToLeft="false" tabSelected="false" showOutlineSymbols="true" defaultGridColor="true" view="normal" topLeftCell="A33" colorId="64" zoomScale="100" zoomScaleNormal="100" zoomScalePageLayoutView="100" workbookViewId="0">
      <selection pane="topLeft" activeCell="B36" activeCellId="0" sqref="B36"/>
    </sheetView>
  </sheetViews>
  <sheetFormatPr defaultColWidth="11.53515625" defaultRowHeight="12.8" customHeight="true" zeroHeight="false" outlineLevelRow="0" outlineLevelCol="0"/>
  <cols>
    <col collapsed="false" customWidth="true" hidden="false" outlineLevel="0" max="2" min="2" style="0" width="79.86"/>
  </cols>
  <sheetData>
    <row r="5" customFormat="false" ht="12.8" hidden="false" customHeight="false" outlineLevel="0" collapsed="false">
      <c r="B5" s="0" t="s">
        <v>111</v>
      </c>
      <c r="C5" s="0" t="s">
        <v>41</v>
      </c>
    </row>
    <row r="6" customFormat="false" ht="46.25" hidden="false" customHeight="true" outlineLevel="0" collapsed="false">
      <c r="B6" s="2" t="s">
        <v>75</v>
      </c>
    </row>
    <row r="7" customFormat="false" ht="46.25" hidden="false" customHeight="true" outlineLevel="0" collapsed="false">
      <c r="B7" s="2" t="s">
        <v>42</v>
      </c>
    </row>
    <row r="8" customFormat="false" ht="46.25" hidden="false" customHeight="true" outlineLevel="0" collapsed="false">
      <c r="B8" s="2" t="s">
        <v>76</v>
      </c>
    </row>
    <row r="9" customFormat="false" ht="46.25" hidden="false" customHeight="true" outlineLevel="0" collapsed="false">
      <c r="B9" s="2" t="s">
        <v>80</v>
      </c>
    </row>
    <row r="10" customFormat="false" ht="46.25" hidden="false" customHeight="true" outlineLevel="0" collapsed="false">
      <c r="B10" s="2" t="s">
        <v>82</v>
      </c>
    </row>
    <row r="11" customFormat="false" ht="46.25" hidden="false" customHeight="true" outlineLevel="0" collapsed="false">
      <c r="B11" s="2" t="s">
        <v>112</v>
      </c>
    </row>
    <row r="12" customFormat="false" ht="46.25" hidden="false" customHeight="true" outlineLevel="0" collapsed="false">
      <c r="B12" s="2" t="s">
        <v>81</v>
      </c>
    </row>
    <row r="13" customFormat="false" ht="46.25" hidden="false" customHeight="true" outlineLevel="0" collapsed="false">
      <c r="B13" s="2" t="s">
        <v>77</v>
      </c>
    </row>
    <row r="14" customFormat="false" ht="46.25" hidden="false" customHeight="true" outlineLevel="0" collapsed="false">
      <c r="B14" s="2" t="s">
        <v>78</v>
      </c>
    </row>
    <row r="15" customFormat="false" ht="46.25" hidden="false" customHeight="true" outlineLevel="0" collapsed="false">
      <c r="B15" s="2" t="s">
        <v>43</v>
      </c>
    </row>
    <row r="16" customFormat="false" ht="46.25" hidden="false" customHeight="true" outlineLevel="0" collapsed="false"/>
    <row r="17" customFormat="false" ht="46.25" hidden="false" customHeight="true" outlineLevel="0" collapsed="false">
      <c r="B17" s="0" t="s">
        <v>113</v>
      </c>
      <c r="C17" s="0" t="s">
        <v>41</v>
      </c>
    </row>
    <row r="18" customFormat="false" ht="46.25" hidden="false" customHeight="true" outlineLevel="0" collapsed="false">
      <c r="B18" s="2" t="s">
        <v>90</v>
      </c>
    </row>
    <row r="19" customFormat="false" ht="46.25" hidden="false" customHeight="true" outlineLevel="0" collapsed="false">
      <c r="B19" s="2" t="s">
        <v>89</v>
      </c>
    </row>
    <row r="20" customFormat="false" ht="46.25" hidden="false" customHeight="true" outlineLevel="0" collapsed="false">
      <c r="B20" s="2" t="s">
        <v>84</v>
      </c>
    </row>
    <row r="21" customFormat="false" ht="46.25" hidden="false" customHeight="true" outlineLevel="0" collapsed="false">
      <c r="B21" s="2" t="s">
        <v>91</v>
      </c>
    </row>
    <row r="22" customFormat="false" ht="46.25" hidden="false" customHeight="true" outlineLevel="0" collapsed="false">
      <c r="B22" s="2" t="s">
        <v>85</v>
      </c>
    </row>
    <row r="23" customFormat="false" ht="46.25" hidden="false" customHeight="true" outlineLevel="0" collapsed="false">
      <c r="B23" s="2" t="s">
        <v>114</v>
      </c>
    </row>
    <row r="24" customFormat="false" ht="46.25" hidden="false" customHeight="true" outlineLevel="0" collapsed="false">
      <c r="B24" s="2" t="s">
        <v>115</v>
      </c>
    </row>
    <row r="25" customFormat="false" ht="46.25" hidden="false" customHeight="true" outlineLevel="0" collapsed="false">
      <c r="B25" s="2" t="s">
        <v>116</v>
      </c>
    </row>
    <row r="26" customFormat="false" ht="46.25" hidden="false" customHeight="true" outlineLevel="0" collapsed="false">
      <c r="B26" s="2" t="s">
        <v>117</v>
      </c>
    </row>
    <row r="27" customFormat="false" ht="46.25" hidden="false" customHeight="true" outlineLevel="0" collapsed="false">
      <c r="B27" s="2" t="s">
        <v>86</v>
      </c>
    </row>
    <row r="28" customFormat="false" ht="46.25" hidden="false" customHeight="true" outlineLevel="0" collapsed="false"/>
    <row r="29" customFormat="false" ht="46.25" hidden="false" customHeight="true" outlineLevel="0" collapsed="false"/>
    <row r="30" customFormat="false" ht="46.25" hidden="false" customHeight="true" outlineLevel="0" collapsed="false">
      <c r="B30" s="0" t="s">
        <v>118</v>
      </c>
      <c r="C30" s="0" t="s">
        <v>41</v>
      </c>
    </row>
    <row r="31" customFormat="false" ht="46.25" hidden="false" customHeight="true" outlineLevel="0" collapsed="false">
      <c r="B31" s="2" t="s">
        <v>93</v>
      </c>
    </row>
    <row r="32" customFormat="false" ht="46.25" hidden="false" customHeight="true" outlineLevel="0" collapsed="false">
      <c r="B32" s="2" t="s">
        <v>94</v>
      </c>
    </row>
    <row r="33" customFormat="false" ht="46.25" hidden="false" customHeight="true" outlineLevel="0" collapsed="false">
      <c r="B33" s="2" t="s">
        <v>95</v>
      </c>
    </row>
    <row r="34" customFormat="false" ht="46.25" hidden="false" customHeight="true" outlineLevel="0" collapsed="false">
      <c r="B34" s="2" t="s">
        <v>98</v>
      </c>
    </row>
    <row r="35" customFormat="false" ht="46.25" hidden="false" customHeight="true" outlineLevel="0" collapsed="false">
      <c r="B35" s="2" t="s">
        <v>119</v>
      </c>
    </row>
    <row r="36" customFormat="false" ht="46.25" hidden="false" customHeight="true" outlineLevel="0" collapsed="false">
      <c r="B36" s="2" t="s">
        <v>120</v>
      </c>
    </row>
    <row r="37" customFormat="false" ht="46.25" hidden="false" customHeight="true" outlineLevel="0" collapsed="false">
      <c r="B37" s="2" t="s">
        <v>121</v>
      </c>
    </row>
    <row r="38" customFormat="false" ht="46.25" hidden="false" customHeight="true" outlineLevel="0" collapsed="false">
      <c r="B38" s="2" t="s">
        <v>122</v>
      </c>
    </row>
    <row r="39" customFormat="false" ht="46.25" hidden="false" customHeight="true" outlineLevel="0" collapsed="false">
      <c r="B39" s="2" t="s">
        <v>65</v>
      </c>
    </row>
    <row r="40" customFormat="false" ht="48.5" hidden="false" customHeight="true" outlineLevel="0" collapsed="false">
      <c r="B40" s="2" t="s">
        <v>96</v>
      </c>
    </row>
  </sheetData>
  <printOptions headings="false" gridLines="false" gridLinesSet="true" horizontalCentered="false" verticalCentered="false"/>
  <pageMargins left="0.7875" right="0.7875" top="1.025" bottom="1.025"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&amp;C&amp;A</oddHeader>
    <oddFooter>&amp;CPage &amp;P</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5:C40"/>
  <sheetViews>
    <sheetView showFormulas="false" showGridLines="true" showRowColHeaders="true" showZeros="true" rightToLeft="false" tabSelected="false" showOutlineSymbols="true" defaultGridColor="true" view="normal" topLeftCell="A36" colorId="64" zoomScale="100" zoomScaleNormal="100" zoomScalePageLayoutView="100" workbookViewId="0">
      <selection pane="topLeft" activeCell="B31" activeCellId="0" sqref="B31"/>
    </sheetView>
  </sheetViews>
  <sheetFormatPr defaultColWidth="11.53515625" defaultRowHeight="12.8" customHeight="true" zeroHeight="false" outlineLevelRow="0" outlineLevelCol="0"/>
  <cols>
    <col collapsed="false" customWidth="true" hidden="false" outlineLevel="0" max="2" min="2" style="0" width="79.86"/>
  </cols>
  <sheetData>
    <row r="5" customFormat="false" ht="12.8" hidden="false" customHeight="false" outlineLevel="0" collapsed="false">
      <c r="B5" s="0" t="s">
        <v>123</v>
      </c>
      <c r="C5" s="0" t="s">
        <v>41</v>
      </c>
    </row>
    <row r="6" customFormat="false" ht="46.25" hidden="false" customHeight="true" outlineLevel="0" collapsed="false">
      <c r="B6" s="2" t="s">
        <v>42</v>
      </c>
    </row>
    <row r="7" customFormat="false" ht="46.25" hidden="false" customHeight="true" outlineLevel="0" collapsed="false">
      <c r="B7" s="2" t="s">
        <v>75</v>
      </c>
    </row>
    <row r="8" customFormat="false" ht="46.25" hidden="false" customHeight="true" outlineLevel="0" collapsed="false">
      <c r="B8" s="2" t="s">
        <v>81</v>
      </c>
    </row>
    <row r="9" customFormat="false" ht="46.25" hidden="false" customHeight="true" outlineLevel="0" collapsed="false">
      <c r="B9" s="2" t="s">
        <v>80</v>
      </c>
    </row>
    <row r="10" customFormat="false" ht="46.25" hidden="false" customHeight="true" outlineLevel="0" collapsed="false">
      <c r="B10" s="2" t="s">
        <v>82</v>
      </c>
    </row>
    <row r="11" customFormat="false" ht="46.25" hidden="false" customHeight="true" outlineLevel="0" collapsed="false">
      <c r="B11" s="2" t="s">
        <v>78</v>
      </c>
    </row>
    <row r="12" customFormat="false" ht="46.25" hidden="false" customHeight="true" outlineLevel="0" collapsed="false">
      <c r="B12" s="2" t="s">
        <v>43</v>
      </c>
    </row>
    <row r="13" customFormat="false" ht="46.25" hidden="false" customHeight="true" outlineLevel="0" collapsed="false">
      <c r="B13" s="2" t="s">
        <v>124</v>
      </c>
    </row>
    <row r="14" customFormat="false" ht="46.25" hidden="false" customHeight="true" outlineLevel="0" collapsed="false">
      <c r="B14" s="2" t="s">
        <v>125</v>
      </c>
    </row>
    <row r="15" customFormat="false" ht="46.25" hidden="false" customHeight="true" outlineLevel="0" collapsed="false">
      <c r="B15" s="2" t="s">
        <v>126</v>
      </c>
    </row>
    <row r="16" customFormat="false" ht="46.25" hidden="false" customHeight="true" outlineLevel="0" collapsed="false"/>
    <row r="17" customFormat="false" ht="46.25" hidden="false" customHeight="true" outlineLevel="0" collapsed="false">
      <c r="B17" s="0" t="s">
        <v>127</v>
      </c>
      <c r="C17" s="0" t="s">
        <v>41</v>
      </c>
    </row>
    <row r="18" customFormat="false" ht="46.25" hidden="false" customHeight="true" outlineLevel="0" collapsed="false">
      <c r="B18" s="2" t="s">
        <v>86</v>
      </c>
    </row>
    <row r="19" customFormat="false" ht="46.25" hidden="false" customHeight="true" outlineLevel="0" collapsed="false">
      <c r="B19" s="2" t="s">
        <v>128</v>
      </c>
    </row>
    <row r="20" customFormat="false" ht="46.25" hidden="false" customHeight="true" outlineLevel="0" collapsed="false">
      <c r="B20" s="2" t="s">
        <v>87</v>
      </c>
    </row>
    <row r="21" customFormat="false" ht="46.25" hidden="false" customHeight="true" outlineLevel="0" collapsed="false">
      <c r="B21" s="2" t="s">
        <v>129</v>
      </c>
    </row>
    <row r="22" customFormat="false" ht="46.25" hidden="false" customHeight="true" outlineLevel="0" collapsed="false">
      <c r="B22" s="2" t="s">
        <v>85</v>
      </c>
    </row>
    <row r="23" customFormat="false" ht="46.25" hidden="false" customHeight="true" outlineLevel="0" collapsed="false">
      <c r="B23" s="2" t="s">
        <v>130</v>
      </c>
    </row>
    <row r="24" customFormat="false" ht="46.25" hidden="false" customHeight="true" outlineLevel="0" collapsed="false">
      <c r="B24" s="2" t="s">
        <v>53</v>
      </c>
    </row>
    <row r="25" customFormat="false" ht="46.25" hidden="false" customHeight="true" outlineLevel="0" collapsed="false">
      <c r="B25" s="2" t="s">
        <v>84</v>
      </c>
    </row>
    <row r="26" customFormat="false" ht="46.25" hidden="false" customHeight="true" outlineLevel="0" collapsed="false">
      <c r="B26" s="2" t="s">
        <v>89</v>
      </c>
    </row>
    <row r="27" customFormat="false" ht="46.25" hidden="false" customHeight="true" outlineLevel="0" collapsed="false">
      <c r="B27" s="2" t="s">
        <v>131</v>
      </c>
    </row>
    <row r="28" customFormat="false" ht="46.25" hidden="false" customHeight="true" outlineLevel="0" collapsed="false"/>
    <row r="29" customFormat="false" ht="46.25" hidden="false" customHeight="true" outlineLevel="0" collapsed="false"/>
    <row r="30" customFormat="false" ht="46.25" hidden="false" customHeight="true" outlineLevel="0" collapsed="false">
      <c r="B30" s="0" t="s">
        <v>132</v>
      </c>
      <c r="C30" s="0" t="s">
        <v>41</v>
      </c>
    </row>
    <row r="31" customFormat="false" ht="46.25" hidden="false" customHeight="true" outlineLevel="0" collapsed="false">
      <c r="B31" s="2" t="s">
        <v>133</v>
      </c>
    </row>
    <row r="32" customFormat="false" ht="46.25" hidden="false" customHeight="true" outlineLevel="0" collapsed="false">
      <c r="B32" s="2" t="s">
        <v>134</v>
      </c>
    </row>
    <row r="33" customFormat="false" ht="46.25" hidden="false" customHeight="true" outlineLevel="0" collapsed="false">
      <c r="B33" s="2" t="s">
        <v>95</v>
      </c>
    </row>
    <row r="34" customFormat="false" ht="46.25" hidden="false" customHeight="true" outlineLevel="0" collapsed="false">
      <c r="B34" s="2" t="s">
        <v>135</v>
      </c>
    </row>
    <row r="35" customFormat="false" ht="46.25" hidden="false" customHeight="true" outlineLevel="0" collapsed="false">
      <c r="B35" s="2" t="s">
        <v>94</v>
      </c>
    </row>
    <row r="36" customFormat="false" ht="46.25" hidden="false" customHeight="true" outlineLevel="0" collapsed="false">
      <c r="B36" s="2" t="s">
        <v>96</v>
      </c>
    </row>
    <row r="37" customFormat="false" ht="46.25" hidden="false" customHeight="true" outlineLevel="0" collapsed="false">
      <c r="B37" s="2" t="s">
        <v>93</v>
      </c>
    </row>
    <row r="38" customFormat="false" ht="46.25" hidden="false" customHeight="true" outlineLevel="0" collapsed="false">
      <c r="B38" s="2" t="s">
        <v>136</v>
      </c>
    </row>
    <row r="39" customFormat="false" ht="46.25" hidden="false" customHeight="true" outlineLevel="0" collapsed="false">
      <c r="B39" s="2" t="s">
        <v>137</v>
      </c>
    </row>
    <row r="40" customFormat="false" ht="48.5" hidden="false" customHeight="true" outlineLevel="0" collapsed="false">
      <c r="B40" s="2" t="s">
        <v>138</v>
      </c>
    </row>
  </sheetData>
  <printOptions headings="false" gridLines="false" gridLinesSet="true" horizontalCentered="false" verticalCentered="false"/>
  <pageMargins left="0.7875" right="0.7875" top="1.025" bottom="1.025"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&amp;C&amp;A</oddHeader>
    <oddFooter>&amp;CPage &amp;P</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5:C40"/>
  <sheetViews>
    <sheetView showFormulas="false" showGridLines="true" showRowColHeaders="true" showZeros="true" rightToLeft="false" tabSelected="false" showOutlineSymbols="true" defaultGridColor="true" view="normal" topLeftCell="A30" colorId="64" zoomScale="100" zoomScaleNormal="100" zoomScalePageLayoutView="100" workbookViewId="0">
      <selection pane="topLeft" activeCell="B40" activeCellId="0" sqref="B40"/>
    </sheetView>
  </sheetViews>
  <sheetFormatPr defaultColWidth="11.53515625" defaultRowHeight="12.8" customHeight="true" zeroHeight="false" outlineLevelRow="0" outlineLevelCol="0"/>
  <cols>
    <col collapsed="false" customWidth="true" hidden="false" outlineLevel="0" max="2" min="2" style="0" width="79.86"/>
  </cols>
  <sheetData>
    <row r="5" customFormat="false" ht="12.8" hidden="false" customHeight="false" outlineLevel="0" collapsed="false">
      <c r="B5" s="0" t="s">
        <v>139</v>
      </c>
      <c r="C5" s="0" t="s">
        <v>41</v>
      </c>
    </row>
    <row r="6" customFormat="false" ht="46.25" hidden="false" customHeight="true" outlineLevel="0" collapsed="false">
      <c r="B6" s="2" t="s">
        <v>75</v>
      </c>
    </row>
    <row r="7" customFormat="false" ht="46.25" hidden="false" customHeight="true" outlineLevel="0" collapsed="false">
      <c r="B7" s="2" t="s">
        <v>81</v>
      </c>
    </row>
    <row r="8" customFormat="false" ht="46.25" hidden="false" customHeight="true" outlineLevel="0" collapsed="false">
      <c r="B8" s="2" t="s">
        <v>77</v>
      </c>
    </row>
    <row r="9" customFormat="false" ht="46.25" hidden="false" customHeight="true" outlineLevel="0" collapsed="false">
      <c r="B9" s="2" t="s">
        <v>140</v>
      </c>
    </row>
    <row r="10" customFormat="false" ht="46.25" hidden="false" customHeight="true" outlineLevel="0" collapsed="false">
      <c r="B10" s="2" t="s">
        <v>80</v>
      </c>
    </row>
    <row r="11" customFormat="false" ht="46.25" hidden="false" customHeight="true" outlineLevel="0" collapsed="false">
      <c r="B11" s="2" t="s">
        <v>141</v>
      </c>
    </row>
    <row r="12" customFormat="false" ht="46.25" hidden="false" customHeight="true" outlineLevel="0" collapsed="false">
      <c r="B12" s="2" t="s">
        <v>142</v>
      </c>
    </row>
    <row r="13" customFormat="false" ht="46.25" hidden="false" customHeight="true" outlineLevel="0" collapsed="false">
      <c r="B13" s="2" t="s">
        <v>76</v>
      </c>
    </row>
    <row r="14" customFormat="false" ht="46.25" hidden="false" customHeight="true" outlineLevel="0" collapsed="false">
      <c r="B14" s="2" t="s">
        <v>143</v>
      </c>
    </row>
    <row r="15" customFormat="false" ht="46.25" hidden="false" customHeight="true" outlineLevel="0" collapsed="false">
      <c r="B15" s="2" t="s">
        <v>144</v>
      </c>
    </row>
    <row r="16" customFormat="false" ht="46.25" hidden="false" customHeight="true" outlineLevel="0" collapsed="false"/>
    <row r="17" customFormat="false" ht="46.25" hidden="false" customHeight="true" outlineLevel="0" collapsed="false">
      <c r="B17" s="0" t="s">
        <v>145</v>
      </c>
      <c r="C17" s="0" t="s">
        <v>41</v>
      </c>
    </row>
    <row r="18" customFormat="false" ht="46.25" hidden="false" customHeight="true" outlineLevel="0" collapsed="false">
      <c r="B18" s="2" t="s">
        <v>89</v>
      </c>
    </row>
    <row r="19" customFormat="false" ht="46.25" hidden="false" customHeight="true" outlineLevel="0" collapsed="false">
      <c r="B19" s="2" t="s">
        <v>84</v>
      </c>
    </row>
    <row r="20" customFormat="false" ht="46.25" hidden="false" customHeight="true" outlineLevel="0" collapsed="false">
      <c r="B20" s="2" t="s">
        <v>146</v>
      </c>
    </row>
    <row r="21" customFormat="false" ht="46.25" hidden="false" customHeight="true" outlineLevel="0" collapsed="false">
      <c r="B21" s="2" t="s">
        <v>147</v>
      </c>
    </row>
    <row r="22" customFormat="false" ht="46.25" hidden="false" customHeight="true" outlineLevel="0" collapsed="false">
      <c r="B22" s="2" t="s">
        <v>148</v>
      </c>
    </row>
    <row r="23" customFormat="false" ht="46.25" hidden="false" customHeight="true" outlineLevel="0" collapsed="false">
      <c r="B23" s="2" t="s">
        <v>149</v>
      </c>
    </row>
    <row r="24" customFormat="false" ht="46.25" hidden="false" customHeight="true" outlineLevel="0" collapsed="false">
      <c r="B24" s="2" t="s">
        <v>150</v>
      </c>
    </row>
    <row r="25" customFormat="false" ht="46.25" hidden="false" customHeight="true" outlineLevel="0" collapsed="false">
      <c r="B25" s="2" t="s">
        <v>151</v>
      </c>
    </row>
    <row r="26" customFormat="false" ht="46.25" hidden="false" customHeight="true" outlineLevel="0" collapsed="false">
      <c r="B26" s="2" t="s">
        <v>90</v>
      </c>
    </row>
    <row r="27" customFormat="false" ht="46.25" hidden="false" customHeight="true" outlineLevel="0" collapsed="false">
      <c r="B27" s="2" t="s">
        <v>85</v>
      </c>
    </row>
    <row r="28" customFormat="false" ht="46.25" hidden="false" customHeight="true" outlineLevel="0" collapsed="false"/>
    <row r="29" customFormat="false" ht="46.25" hidden="false" customHeight="true" outlineLevel="0" collapsed="false"/>
    <row r="30" customFormat="false" ht="46.25" hidden="false" customHeight="true" outlineLevel="0" collapsed="false">
      <c r="B30" s="0" t="s">
        <v>152</v>
      </c>
      <c r="C30" s="0" t="s">
        <v>41</v>
      </c>
    </row>
    <row r="31" customFormat="false" ht="46.25" hidden="false" customHeight="true" outlineLevel="0" collapsed="false">
      <c r="B31" s="2" t="s">
        <v>153</v>
      </c>
    </row>
    <row r="32" customFormat="false" ht="46.25" hidden="false" customHeight="true" outlineLevel="0" collapsed="false">
      <c r="B32" s="2" t="s">
        <v>154</v>
      </c>
    </row>
    <row r="33" customFormat="false" ht="46.25" hidden="false" customHeight="true" outlineLevel="0" collapsed="false">
      <c r="B33" s="2" t="s">
        <v>155</v>
      </c>
    </row>
    <row r="34" customFormat="false" ht="46.25" hidden="false" customHeight="true" outlineLevel="0" collapsed="false">
      <c r="B34" s="2" t="s">
        <v>156</v>
      </c>
    </row>
    <row r="35" customFormat="false" ht="46.25" hidden="false" customHeight="true" outlineLevel="0" collapsed="false">
      <c r="B35" s="2" t="s">
        <v>157</v>
      </c>
    </row>
    <row r="36" customFormat="false" ht="46.25" hidden="false" customHeight="true" outlineLevel="0" collapsed="false">
      <c r="B36" s="2" t="s">
        <v>158</v>
      </c>
    </row>
    <row r="37" customFormat="false" ht="46.25" hidden="false" customHeight="true" outlineLevel="0" collapsed="false">
      <c r="B37" s="2" t="s">
        <v>159</v>
      </c>
    </row>
    <row r="38" customFormat="false" ht="46.25" hidden="false" customHeight="true" outlineLevel="0" collapsed="false">
      <c r="B38" s="2" t="s">
        <v>96</v>
      </c>
    </row>
    <row r="39" customFormat="false" ht="46.25" hidden="false" customHeight="true" outlineLevel="0" collapsed="false">
      <c r="B39" s="2" t="s">
        <v>160</v>
      </c>
    </row>
    <row r="40" customFormat="false" ht="48.5" hidden="false" customHeight="true" outlineLevel="0" collapsed="false">
      <c r="B40" s="2" t="s">
        <v>97</v>
      </c>
    </row>
  </sheetData>
  <printOptions headings="false" gridLines="false" gridLinesSet="true" horizontalCentered="false" verticalCentered="false"/>
  <pageMargins left="0.7875" right="0.7875" top="1.025" bottom="1.025"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&amp;C&amp;A</oddHeader>
    <oddFooter>&amp;CPage &amp;P</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5:C4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C6" activeCellId="0" sqref="C6"/>
    </sheetView>
  </sheetViews>
  <sheetFormatPr defaultColWidth="11.53515625" defaultRowHeight="12.8" customHeight="true" zeroHeight="false" outlineLevelRow="0" outlineLevelCol="0"/>
  <cols>
    <col collapsed="false" customWidth="true" hidden="false" outlineLevel="0" max="2" min="2" style="0" width="79.86"/>
  </cols>
  <sheetData>
    <row r="5" customFormat="false" ht="12.8" hidden="false" customHeight="false" outlineLevel="0" collapsed="false">
      <c r="B5" s="0" t="s">
        <v>161</v>
      </c>
      <c r="C5" s="0" t="s">
        <v>41</v>
      </c>
    </row>
    <row r="6" customFormat="false" ht="46.25" hidden="false" customHeight="true" outlineLevel="0" collapsed="false">
      <c r="B6" s="2" t="s">
        <v>42</v>
      </c>
    </row>
    <row r="7" customFormat="false" ht="46.25" hidden="false" customHeight="true" outlineLevel="0" collapsed="false">
      <c r="B7" s="2" t="s">
        <v>75</v>
      </c>
    </row>
    <row r="8" customFormat="false" ht="46.25" hidden="false" customHeight="true" outlineLevel="0" collapsed="false">
      <c r="B8" s="2" t="s">
        <v>80</v>
      </c>
    </row>
    <row r="9" customFormat="false" ht="46.25" hidden="false" customHeight="true" outlineLevel="0" collapsed="false">
      <c r="B9" s="2" t="s">
        <v>78</v>
      </c>
    </row>
    <row r="10" customFormat="false" ht="46.25" hidden="false" customHeight="true" outlineLevel="0" collapsed="false">
      <c r="B10" s="2" t="s">
        <v>43</v>
      </c>
    </row>
    <row r="11" customFormat="false" ht="46.25" hidden="false" customHeight="true" outlineLevel="0" collapsed="false">
      <c r="B11" s="2" t="s">
        <v>162</v>
      </c>
    </row>
    <row r="12" customFormat="false" ht="46.25" hidden="false" customHeight="true" outlineLevel="0" collapsed="false">
      <c r="B12" s="2" t="s">
        <v>77</v>
      </c>
    </row>
    <row r="13" customFormat="false" ht="46.25" hidden="false" customHeight="true" outlineLevel="0" collapsed="false">
      <c r="B13" s="2" t="s">
        <v>163</v>
      </c>
    </row>
    <row r="14" customFormat="false" ht="46.25" hidden="false" customHeight="true" outlineLevel="0" collapsed="false">
      <c r="B14" s="2" t="s">
        <v>82</v>
      </c>
    </row>
    <row r="15" customFormat="false" ht="46.25" hidden="false" customHeight="true" outlineLevel="0" collapsed="false">
      <c r="B15" s="2" t="s">
        <v>76</v>
      </c>
    </row>
    <row r="16" customFormat="false" ht="46.25" hidden="false" customHeight="true" outlineLevel="0" collapsed="false"/>
    <row r="17" customFormat="false" ht="46.25" hidden="false" customHeight="true" outlineLevel="0" collapsed="false">
      <c r="B17" s="0" t="s">
        <v>164</v>
      </c>
      <c r="C17" s="0" t="s">
        <v>41</v>
      </c>
    </row>
    <row r="18" customFormat="false" ht="46.25" hidden="false" customHeight="true" outlineLevel="0" collapsed="false">
      <c r="B18" s="2" t="s">
        <v>85</v>
      </c>
    </row>
    <row r="19" customFormat="false" ht="46.25" hidden="false" customHeight="true" outlineLevel="0" collapsed="false">
      <c r="B19" s="2" t="s">
        <v>105</v>
      </c>
    </row>
    <row r="20" customFormat="false" ht="46.25" hidden="false" customHeight="true" outlineLevel="0" collapsed="false">
      <c r="B20" s="2" t="s">
        <v>117</v>
      </c>
    </row>
    <row r="21" customFormat="false" ht="46.25" hidden="false" customHeight="true" outlineLevel="0" collapsed="false">
      <c r="B21" s="2" t="s">
        <v>84</v>
      </c>
    </row>
    <row r="22" customFormat="false" ht="46.25" hidden="false" customHeight="true" outlineLevel="0" collapsed="false">
      <c r="B22" s="2" t="s">
        <v>87</v>
      </c>
    </row>
    <row r="23" customFormat="false" ht="46.25" hidden="false" customHeight="true" outlineLevel="0" collapsed="false">
      <c r="B23" s="2" t="s">
        <v>149</v>
      </c>
    </row>
    <row r="24" customFormat="false" ht="46.25" hidden="false" customHeight="true" outlineLevel="0" collapsed="false">
      <c r="B24" s="2" t="s">
        <v>86</v>
      </c>
    </row>
    <row r="25" customFormat="false" ht="46.25" hidden="false" customHeight="true" outlineLevel="0" collapsed="false">
      <c r="B25" s="2" t="s">
        <v>90</v>
      </c>
    </row>
    <row r="26" customFormat="false" ht="46.25" hidden="false" customHeight="true" outlineLevel="0" collapsed="false">
      <c r="B26" s="2" t="s">
        <v>165</v>
      </c>
    </row>
    <row r="27" customFormat="false" ht="46.25" hidden="false" customHeight="true" outlineLevel="0" collapsed="false">
      <c r="B27" s="2" t="s">
        <v>57</v>
      </c>
    </row>
    <row r="28" customFormat="false" ht="46.25" hidden="false" customHeight="true" outlineLevel="0" collapsed="false"/>
    <row r="29" customFormat="false" ht="46.25" hidden="false" customHeight="true" outlineLevel="0" collapsed="false"/>
    <row r="30" customFormat="false" ht="46.25" hidden="false" customHeight="true" outlineLevel="0" collapsed="false">
      <c r="B30" s="0" t="s">
        <v>166</v>
      </c>
      <c r="C30" s="0" t="s">
        <v>41</v>
      </c>
    </row>
    <row r="31" customFormat="false" ht="46.25" hidden="false" customHeight="true" outlineLevel="0" collapsed="false">
      <c r="B31" s="2" t="s">
        <v>96</v>
      </c>
    </row>
    <row r="32" customFormat="false" ht="46.25" hidden="false" customHeight="true" outlineLevel="0" collapsed="false">
      <c r="B32" s="2" t="s">
        <v>95</v>
      </c>
    </row>
    <row r="33" customFormat="false" ht="46.25" hidden="false" customHeight="true" outlineLevel="0" collapsed="false">
      <c r="B33" s="2" t="s">
        <v>93</v>
      </c>
    </row>
    <row r="34" customFormat="false" ht="46.25" hidden="false" customHeight="true" outlineLevel="0" collapsed="false">
      <c r="B34" s="2" t="s">
        <v>94</v>
      </c>
    </row>
    <row r="35" customFormat="false" ht="46.25" hidden="false" customHeight="true" outlineLevel="0" collapsed="false">
      <c r="B35" s="2" t="s">
        <v>97</v>
      </c>
    </row>
    <row r="36" customFormat="false" ht="46.25" hidden="false" customHeight="true" outlineLevel="0" collapsed="false">
      <c r="B36" s="2" t="s">
        <v>134</v>
      </c>
    </row>
    <row r="37" customFormat="false" ht="46.25" hidden="false" customHeight="true" outlineLevel="0" collapsed="false">
      <c r="B37" s="2" t="s">
        <v>98</v>
      </c>
    </row>
    <row r="38" customFormat="false" ht="46.25" hidden="false" customHeight="true" outlineLevel="0" collapsed="false">
      <c r="B38" s="2" t="s">
        <v>153</v>
      </c>
    </row>
    <row r="39" customFormat="false" ht="46.25" hidden="false" customHeight="true" outlineLevel="0" collapsed="false">
      <c r="B39" s="2" t="s">
        <v>122</v>
      </c>
    </row>
    <row r="40" customFormat="false" ht="48.5" hidden="false" customHeight="true" outlineLevel="0" collapsed="false">
      <c r="B40" s="2" t="s">
        <v>64</v>
      </c>
    </row>
  </sheetData>
  <printOptions headings="false" gridLines="false" gridLinesSet="true" horizontalCentered="false" verticalCentered="false"/>
  <pageMargins left="0.7875" right="0.7875" top="1.025" bottom="1.025"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&amp;C&amp;A</oddHeader>
    <oddFooter>&amp;CPage &amp;P</oddFooter>
  </headerFooter>
</worksheet>
</file>

<file path=docProps/app.xml><?xml version="1.0" encoding="utf-8"?>
<Properties xmlns="http://schemas.openxmlformats.org/officeDocument/2006/extended-properties" xmlns:vt="http://schemas.openxmlformats.org/officeDocument/2006/docPropsVTypes">
  <Template/>
  <TotalTime>46</TotalTime>
  <Application>LibreOffice/25.2.7.2$Linux_X86_64 LibreOffice_project/520$Build-2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2025-10-15T15:38:16Z</dcterms:created>
  <dc:creator/>
  <dc:description/>
  <dc:language>en-US</dc:language>
  <cp:lastModifiedBy/>
  <dcterms:modified xsi:type="dcterms:W3CDTF">2025-10-15T20:12:35Z</dcterms:modified>
  <cp:revision>6</cp:revision>
  <dc:subject/>
  <dc:title/>
</cp:coreProperties>
</file>